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alemaancentre.sharepoint.com/Shared Documents/Shaffiq/AEC (1)/Strategy/Phase 3 Sustainability/2025 2026 Strategy/"/>
    </mc:Choice>
  </mc:AlternateContent>
  <xr:revisionPtr revIDLastSave="0" documentId="8_{884D0406-916E-4057-986F-2C06F96C2F62}" xr6:coauthVersionLast="47" xr6:coauthVersionMax="47" xr10:uidLastSave="{00000000-0000-0000-0000-000000000000}"/>
  <bookViews>
    <workbookView xWindow="-110" yWindow="-110" windowWidth="23260" windowHeight="14860" tabRatio="865" firstSheet="5" activeTab="5" xr2:uid="{00000000-000D-0000-FFFF-FFFF00000000}"/>
  </bookViews>
  <sheets>
    <sheet name="Dashboard" sheetId="1" r:id="rId1"/>
    <sheet name="Instructions" sheetId="2" r:id="rId2"/>
    <sheet name="Financial Stability" sheetId="3" r:id="rId3"/>
    <sheet name="Youth Succession Planning" sheetId="15" r:id="rId4"/>
    <sheet name="Wider Community Engagement" sheetId="16" r:id="rId5"/>
    <sheet name="Building Teams &amp; Leadership" sheetId="17" r:id="rId6"/>
    <sheet name="Community Activities" sheetId="18" r:id="rId7"/>
    <sheet name="Spiritual Focus" sheetId="19" r:id="rId8"/>
    <sheet name="Data (Master Table)" sheetId="9" r:id="rId9"/>
    <sheet name="BDP-DR" sheetId="14" state="hidden" r:id="rId10"/>
    <sheet name="OPEX Review Log" sheetId="10" r:id="rId11"/>
  </sheets>
  <definedNames>
    <definedName name="_xlnm._FilterDatabase" localSheetId="8" hidden="1">'Data (Master Table)'!$A$2:$U$91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 l="1"/>
  <c r="C10" i="1"/>
  <c r="C9" i="1"/>
  <c r="C8" i="1"/>
  <c r="C7" i="1"/>
  <c r="C6" i="1"/>
  <c r="A2" i="19"/>
  <c r="A4" i="18"/>
  <c r="A5" i="18"/>
  <c r="A6" i="18"/>
  <c r="A7" i="18"/>
  <c r="A8" i="18"/>
  <c r="A9" i="18"/>
  <c r="A10" i="18"/>
  <c r="A11" i="18"/>
  <c r="A12" i="18"/>
  <c r="A13" i="18"/>
  <c r="A14" i="18"/>
  <c r="A15" i="18"/>
  <c r="A16" i="18"/>
  <c r="A3" i="18"/>
  <c r="A2" i="18"/>
  <c r="A4" i="17"/>
  <c r="A5" i="17"/>
  <c r="A6" i="17"/>
  <c r="A7" i="17"/>
  <c r="A8" i="17"/>
  <c r="A9" i="17"/>
  <c r="A10" i="17"/>
  <c r="A11" i="17"/>
  <c r="A12" i="17"/>
  <c r="A13" i="17"/>
  <c r="A14" i="17"/>
  <c r="A15" i="17"/>
  <c r="A16" i="17"/>
  <c r="A3" i="17"/>
  <c r="A2" i="17"/>
  <c r="A4" i="16"/>
  <c r="A5" i="16"/>
  <c r="A6" i="16"/>
  <c r="A7" i="16"/>
  <c r="A8" i="16"/>
  <c r="A9" i="16"/>
  <c r="A10" i="16"/>
  <c r="A11" i="16"/>
  <c r="A12" i="16"/>
  <c r="A13" i="16"/>
  <c r="A14" i="16"/>
  <c r="A15" i="16"/>
  <c r="A16" i="16"/>
  <c r="A3" i="16"/>
  <c r="A2" i="16"/>
  <c r="A4" i="15"/>
  <c r="A5" i="15"/>
  <c r="A6" i="15"/>
  <c r="A7" i="15"/>
  <c r="A8" i="15"/>
  <c r="A9" i="15"/>
  <c r="A10" i="15"/>
  <c r="A11" i="15"/>
  <c r="A12" i="15"/>
  <c r="A13" i="15"/>
  <c r="A14" i="15"/>
  <c r="A15" i="15"/>
  <c r="A16" i="15"/>
  <c r="A3" i="15"/>
  <c r="A2" i="15"/>
  <c r="A4" i="3"/>
  <c r="A5" i="3"/>
  <c r="A6" i="3"/>
  <c r="A7" i="3"/>
  <c r="A8" i="3"/>
  <c r="A9" i="3"/>
  <c r="A10" i="3"/>
  <c r="A11" i="3"/>
  <c r="A12" i="3"/>
  <c r="A13" i="3"/>
  <c r="A14" i="3"/>
  <c r="A15" i="3"/>
  <c r="A16" i="3"/>
  <c r="A3" i="3"/>
  <c r="A2" i="3"/>
  <c r="B11" i="1"/>
  <c r="B10" i="1"/>
  <c r="B9" i="1"/>
  <c r="B8" i="1"/>
  <c r="B7" i="1"/>
  <c r="B6" i="1"/>
  <c r="M79" i="9"/>
  <c r="N79" i="9"/>
  <c r="O79" i="9"/>
  <c r="P79" i="9"/>
  <c r="Q79" i="9"/>
  <c r="R79" i="9"/>
  <c r="S79" i="9"/>
  <c r="T79" i="9"/>
  <c r="U79" i="9"/>
  <c r="M80" i="9"/>
  <c r="N80" i="9"/>
  <c r="O80" i="9"/>
  <c r="P80" i="9"/>
  <c r="Q80" i="9"/>
  <c r="R80" i="9"/>
  <c r="S80" i="9"/>
  <c r="T80" i="9"/>
  <c r="U80" i="9"/>
  <c r="M81" i="9"/>
  <c r="N81" i="9"/>
  <c r="O81" i="9"/>
  <c r="P81" i="9"/>
  <c r="Q81" i="9"/>
  <c r="R81" i="9"/>
  <c r="S81" i="9"/>
  <c r="T81" i="9"/>
  <c r="U81" i="9"/>
  <c r="M82" i="9"/>
  <c r="N82" i="9"/>
  <c r="O82" i="9"/>
  <c r="P82" i="9"/>
  <c r="Q82" i="9"/>
  <c r="R82" i="9"/>
  <c r="S82" i="9"/>
  <c r="T82" i="9"/>
  <c r="U82" i="9"/>
  <c r="M83" i="9"/>
  <c r="N83" i="9"/>
  <c r="O83" i="9"/>
  <c r="P83" i="9"/>
  <c r="Q83" i="9"/>
  <c r="R83" i="9"/>
  <c r="S83" i="9"/>
  <c r="T83" i="9"/>
  <c r="U83" i="9"/>
  <c r="M84" i="9"/>
  <c r="N84" i="9"/>
  <c r="O84" i="9"/>
  <c r="P84" i="9"/>
  <c r="Q84" i="9"/>
  <c r="R84" i="9"/>
  <c r="S84" i="9"/>
  <c r="T84" i="9"/>
  <c r="U84" i="9"/>
  <c r="M85" i="9"/>
  <c r="N85" i="9"/>
  <c r="O85" i="9"/>
  <c r="P85" i="9"/>
  <c r="Q85" i="9"/>
  <c r="R85" i="9"/>
  <c r="S85" i="9"/>
  <c r="T85" i="9"/>
  <c r="U85" i="9"/>
  <c r="M86" i="9"/>
  <c r="N86" i="9"/>
  <c r="O86" i="9"/>
  <c r="P86" i="9"/>
  <c r="Q86" i="9"/>
  <c r="R86" i="9"/>
  <c r="S86" i="9"/>
  <c r="T86" i="9"/>
  <c r="U86" i="9"/>
  <c r="M87" i="9"/>
  <c r="N87" i="9"/>
  <c r="O87" i="9"/>
  <c r="P87" i="9"/>
  <c r="Q87" i="9"/>
  <c r="R87" i="9"/>
  <c r="S87" i="9"/>
  <c r="T87" i="9"/>
  <c r="U87" i="9"/>
  <c r="M88" i="9"/>
  <c r="N88" i="9"/>
  <c r="O88" i="9"/>
  <c r="P88" i="9"/>
  <c r="Q88" i="9"/>
  <c r="R88" i="9"/>
  <c r="S88" i="9"/>
  <c r="T88" i="9"/>
  <c r="U88" i="9"/>
  <c r="M89" i="9"/>
  <c r="N89" i="9"/>
  <c r="O89" i="9"/>
  <c r="P89" i="9"/>
  <c r="Q89" i="9"/>
  <c r="R89" i="9"/>
  <c r="S89" i="9"/>
  <c r="T89" i="9"/>
  <c r="U89" i="9"/>
  <c r="M90" i="9"/>
  <c r="N90" i="9"/>
  <c r="O90" i="9"/>
  <c r="P90" i="9"/>
  <c r="Q90" i="9"/>
  <c r="R90" i="9"/>
  <c r="S90" i="9"/>
  <c r="T90" i="9"/>
  <c r="U90" i="9"/>
  <c r="M91" i="9"/>
  <c r="N91" i="9"/>
  <c r="O91" i="9"/>
  <c r="P91" i="9"/>
  <c r="Q91" i="9"/>
  <c r="R91" i="9"/>
  <c r="S91" i="9"/>
  <c r="T91" i="9"/>
  <c r="U91" i="9"/>
  <c r="N78" i="9"/>
  <c r="O78" i="9"/>
  <c r="P78" i="9"/>
  <c r="Q78" i="9"/>
  <c r="R78" i="9"/>
  <c r="S78" i="9"/>
  <c r="T78" i="9"/>
  <c r="U78" i="9"/>
  <c r="M78" i="9"/>
  <c r="M64" i="9"/>
  <c r="N64" i="9"/>
  <c r="O64" i="9"/>
  <c r="P64" i="9"/>
  <c r="Q64" i="9"/>
  <c r="R64" i="9"/>
  <c r="S64" i="9"/>
  <c r="T64" i="9"/>
  <c r="U64" i="9"/>
  <c r="M65" i="9"/>
  <c r="N65" i="9"/>
  <c r="O65" i="9"/>
  <c r="P65" i="9"/>
  <c r="Q65" i="9"/>
  <c r="R65" i="9"/>
  <c r="S65" i="9"/>
  <c r="T65" i="9"/>
  <c r="U65" i="9"/>
  <c r="M66" i="9"/>
  <c r="N66" i="9"/>
  <c r="O66" i="9"/>
  <c r="P66" i="9"/>
  <c r="Q66" i="9"/>
  <c r="R66" i="9"/>
  <c r="S66" i="9"/>
  <c r="T66" i="9"/>
  <c r="U66" i="9"/>
  <c r="M67" i="9"/>
  <c r="N67" i="9"/>
  <c r="O67" i="9"/>
  <c r="P67" i="9"/>
  <c r="Q67" i="9"/>
  <c r="R67" i="9"/>
  <c r="S67" i="9"/>
  <c r="T67" i="9"/>
  <c r="U67" i="9"/>
  <c r="M68" i="9"/>
  <c r="N68" i="9"/>
  <c r="O68" i="9"/>
  <c r="P68" i="9"/>
  <c r="Q68" i="9"/>
  <c r="R68" i="9"/>
  <c r="S68" i="9"/>
  <c r="T68" i="9"/>
  <c r="U68" i="9"/>
  <c r="M69" i="9"/>
  <c r="N69" i="9"/>
  <c r="O69" i="9"/>
  <c r="P69" i="9"/>
  <c r="Q69" i="9"/>
  <c r="R69" i="9"/>
  <c r="S69" i="9"/>
  <c r="T69" i="9"/>
  <c r="U69" i="9"/>
  <c r="M70" i="9"/>
  <c r="N70" i="9"/>
  <c r="O70" i="9"/>
  <c r="P70" i="9"/>
  <c r="Q70" i="9"/>
  <c r="R70" i="9"/>
  <c r="S70" i="9"/>
  <c r="T70" i="9"/>
  <c r="U70" i="9"/>
  <c r="M71" i="9"/>
  <c r="N71" i="9"/>
  <c r="O71" i="9"/>
  <c r="P71" i="9"/>
  <c r="Q71" i="9"/>
  <c r="R71" i="9"/>
  <c r="S71" i="9"/>
  <c r="T71" i="9"/>
  <c r="U71" i="9"/>
  <c r="M72" i="9"/>
  <c r="N72" i="9"/>
  <c r="O72" i="9"/>
  <c r="P72" i="9"/>
  <c r="Q72" i="9"/>
  <c r="R72" i="9"/>
  <c r="S72" i="9"/>
  <c r="T72" i="9"/>
  <c r="U72" i="9"/>
  <c r="M73" i="9"/>
  <c r="N73" i="9"/>
  <c r="O73" i="9"/>
  <c r="P73" i="9"/>
  <c r="Q73" i="9"/>
  <c r="R73" i="9"/>
  <c r="S73" i="9"/>
  <c r="T73" i="9"/>
  <c r="U73" i="9"/>
  <c r="M74" i="9"/>
  <c r="N74" i="9"/>
  <c r="O74" i="9"/>
  <c r="P74" i="9"/>
  <c r="Q74" i="9"/>
  <c r="R74" i="9"/>
  <c r="S74" i="9"/>
  <c r="T74" i="9"/>
  <c r="U74" i="9"/>
  <c r="M75" i="9"/>
  <c r="N75" i="9"/>
  <c r="O75" i="9"/>
  <c r="P75" i="9"/>
  <c r="Q75" i="9"/>
  <c r="R75" i="9"/>
  <c r="S75" i="9"/>
  <c r="T75" i="9"/>
  <c r="U75" i="9"/>
  <c r="M76" i="9"/>
  <c r="N76" i="9"/>
  <c r="O76" i="9"/>
  <c r="P76" i="9"/>
  <c r="Q76" i="9"/>
  <c r="R76" i="9"/>
  <c r="S76" i="9"/>
  <c r="T76" i="9"/>
  <c r="U76" i="9"/>
  <c r="M77" i="9"/>
  <c r="N77" i="9"/>
  <c r="O77" i="9"/>
  <c r="P77" i="9"/>
  <c r="Q77" i="9"/>
  <c r="R77" i="9"/>
  <c r="S77" i="9"/>
  <c r="T77" i="9"/>
  <c r="U77" i="9"/>
  <c r="N63" i="9"/>
  <c r="O63" i="9"/>
  <c r="P63" i="9"/>
  <c r="Q63" i="9"/>
  <c r="R63" i="9"/>
  <c r="S63" i="9"/>
  <c r="T63" i="9"/>
  <c r="U63" i="9"/>
  <c r="M63" i="9"/>
  <c r="M49" i="9"/>
  <c r="N49" i="9"/>
  <c r="O49" i="9"/>
  <c r="P49" i="9"/>
  <c r="Q49" i="9"/>
  <c r="R49" i="9"/>
  <c r="S49" i="9"/>
  <c r="T49" i="9"/>
  <c r="U49" i="9"/>
  <c r="M50" i="9"/>
  <c r="N50" i="9"/>
  <c r="O50" i="9"/>
  <c r="P50" i="9"/>
  <c r="Q50" i="9"/>
  <c r="R50" i="9"/>
  <c r="S50" i="9"/>
  <c r="T50" i="9"/>
  <c r="U50" i="9"/>
  <c r="M51" i="9"/>
  <c r="N51" i="9"/>
  <c r="O51" i="9"/>
  <c r="P51" i="9"/>
  <c r="Q51" i="9"/>
  <c r="R51" i="9"/>
  <c r="S51" i="9"/>
  <c r="T51" i="9"/>
  <c r="U51" i="9"/>
  <c r="M52" i="9"/>
  <c r="N52" i="9"/>
  <c r="O52" i="9"/>
  <c r="P52" i="9"/>
  <c r="Q52" i="9"/>
  <c r="R52" i="9"/>
  <c r="S52" i="9"/>
  <c r="T52" i="9"/>
  <c r="U52" i="9"/>
  <c r="M53" i="9"/>
  <c r="N53" i="9"/>
  <c r="O53" i="9"/>
  <c r="P53" i="9"/>
  <c r="Q53" i="9"/>
  <c r="R53" i="9"/>
  <c r="S53" i="9"/>
  <c r="T53" i="9"/>
  <c r="U53" i="9"/>
  <c r="M54" i="9"/>
  <c r="N54" i="9"/>
  <c r="O54" i="9"/>
  <c r="P54" i="9"/>
  <c r="Q54" i="9"/>
  <c r="R54" i="9"/>
  <c r="S54" i="9"/>
  <c r="T54" i="9"/>
  <c r="U54" i="9"/>
  <c r="M55" i="9"/>
  <c r="N55" i="9"/>
  <c r="O55" i="9"/>
  <c r="P55" i="9"/>
  <c r="Q55" i="9"/>
  <c r="R55" i="9"/>
  <c r="S55" i="9"/>
  <c r="T55" i="9"/>
  <c r="U55" i="9"/>
  <c r="M56" i="9"/>
  <c r="N56" i="9"/>
  <c r="O56" i="9"/>
  <c r="P56" i="9"/>
  <c r="Q56" i="9"/>
  <c r="R56" i="9"/>
  <c r="S56" i="9"/>
  <c r="T56" i="9"/>
  <c r="U56" i="9"/>
  <c r="M57" i="9"/>
  <c r="N57" i="9"/>
  <c r="O57" i="9"/>
  <c r="P57" i="9"/>
  <c r="Q57" i="9"/>
  <c r="R57" i="9"/>
  <c r="S57" i="9"/>
  <c r="T57" i="9"/>
  <c r="U57" i="9"/>
  <c r="M58" i="9"/>
  <c r="N58" i="9"/>
  <c r="O58" i="9"/>
  <c r="P58" i="9"/>
  <c r="Q58" i="9"/>
  <c r="R58" i="9"/>
  <c r="S58" i="9"/>
  <c r="T58" i="9"/>
  <c r="U58" i="9"/>
  <c r="M59" i="9"/>
  <c r="N59" i="9"/>
  <c r="O59" i="9"/>
  <c r="P59" i="9"/>
  <c r="Q59" i="9"/>
  <c r="R59" i="9"/>
  <c r="S59" i="9"/>
  <c r="T59" i="9"/>
  <c r="U59" i="9"/>
  <c r="M60" i="9"/>
  <c r="N60" i="9"/>
  <c r="O60" i="9"/>
  <c r="P60" i="9"/>
  <c r="Q60" i="9"/>
  <c r="R60" i="9"/>
  <c r="S60" i="9"/>
  <c r="T60" i="9"/>
  <c r="U60" i="9"/>
  <c r="M61" i="9"/>
  <c r="N61" i="9"/>
  <c r="O61" i="9"/>
  <c r="P61" i="9"/>
  <c r="Q61" i="9"/>
  <c r="R61" i="9"/>
  <c r="S61" i="9"/>
  <c r="T61" i="9"/>
  <c r="U61" i="9"/>
  <c r="M62" i="9"/>
  <c r="N62" i="9"/>
  <c r="O62" i="9"/>
  <c r="P62" i="9"/>
  <c r="Q62" i="9"/>
  <c r="R62" i="9"/>
  <c r="S62" i="9"/>
  <c r="T62" i="9"/>
  <c r="U62" i="9"/>
  <c r="N48" i="9"/>
  <c r="O48" i="9"/>
  <c r="P48" i="9"/>
  <c r="Q48" i="9"/>
  <c r="R48" i="9"/>
  <c r="S48" i="9"/>
  <c r="T48" i="9"/>
  <c r="U48" i="9"/>
  <c r="M48" i="9"/>
  <c r="M34" i="9"/>
  <c r="N34" i="9"/>
  <c r="O34" i="9"/>
  <c r="P34" i="9"/>
  <c r="Q34" i="9"/>
  <c r="R34" i="9"/>
  <c r="S34" i="9"/>
  <c r="T34" i="9"/>
  <c r="U34" i="9"/>
  <c r="M35" i="9"/>
  <c r="N35" i="9"/>
  <c r="O35" i="9"/>
  <c r="P35" i="9"/>
  <c r="Q35" i="9"/>
  <c r="R35" i="9"/>
  <c r="S35" i="9"/>
  <c r="T35" i="9"/>
  <c r="U35" i="9"/>
  <c r="M36" i="9"/>
  <c r="N36" i="9"/>
  <c r="O36" i="9"/>
  <c r="P36" i="9"/>
  <c r="Q36" i="9"/>
  <c r="R36" i="9"/>
  <c r="S36" i="9"/>
  <c r="T36" i="9"/>
  <c r="U36" i="9"/>
  <c r="M37" i="9"/>
  <c r="N37" i="9"/>
  <c r="O37" i="9"/>
  <c r="P37" i="9"/>
  <c r="Q37" i="9"/>
  <c r="R37" i="9"/>
  <c r="S37" i="9"/>
  <c r="T37" i="9"/>
  <c r="U37" i="9"/>
  <c r="M38" i="9"/>
  <c r="N38" i="9"/>
  <c r="O38" i="9"/>
  <c r="P38" i="9"/>
  <c r="Q38" i="9"/>
  <c r="R38" i="9"/>
  <c r="S38" i="9"/>
  <c r="T38" i="9"/>
  <c r="U38" i="9"/>
  <c r="M39" i="9"/>
  <c r="N39" i="9"/>
  <c r="O39" i="9"/>
  <c r="P39" i="9"/>
  <c r="Q39" i="9"/>
  <c r="R39" i="9"/>
  <c r="S39" i="9"/>
  <c r="T39" i="9"/>
  <c r="U39" i="9"/>
  <c r="M40" i="9"/>
  <c r="N40" i="9"/>
  <c r="O40" i="9"/>
  <c r="P40" i="9"/>
  <c r="Q40" i="9"/>
  <c r="R40" i="9"/>
  <c r="S40" i="9"/>
  <c r="T40" i="9"/>
  <c r="U40" i="9"/>
  <c r="M41" i="9"/>
  <c r="N41" i="9"/>
  <c r="O41" i="9"/>
  <c r="P41" i="9"/>
  <c r="Q41" i="9"/>
  <c r="R41" i="9"/>
  <c r="S41" i="9"/>
  <c r="T41" i="9"/>
  <c r="U41" i="9"/>
  <c r="M42" i="9"/>
  <c r="N42" i="9"/>
  <c r="O42" i="9"/>
  <c r="P42" i="9"/>
  <c r="Q42" i="9"/>
  <c r="R42" i="9"/>
  <c r="S42" i="9"/>
  <c r="T42" i="9"/>
  <c r="U42" i="9"/>
  <c r="M43" i="9"/>
  <c r="N43" i="9"/>
  <c r="O43" i="9"/>
  <c r="P43" i="9"/>
  <c r="Q43" i="9"/>
  <c r="R43" i="9"/>
  <c r="S43" i="9"/>
  <c r="T43" i="9"/>
  <c r="U43" i="9"/>
  <c r="M44" i="9"/>
  <c r="N44" i="9"/>
  <c r="O44" i="9"/>
  <c r="P44" i="9"/>
  <c r="Q44" i="9"/>
  <c r="R44" i="9"/>
  <c r="S44" i="9"/>
  <c r="T44" i="9"/>
  <c r="U44" i="9"/>
  <c r="M45" i="9"/>
  <c r="N45" i="9"/>
  <c r="O45" i="9"/>
  <c r="P45" i="9"/>
  <c r="Q45" i="9"/>
  <c r="R45" i="9"/>
  <c r="S45" i="9"/>
  <c r="T45" i="9"/>
  <c r="U45" i="9"/>
  <c r="M46" i="9"/>
  <c r="N46" i="9"/>
  <c r="O46" i="9"/>
  <c r="P46" i="9"/>
  <c r="Q46" i="9"/>
  <c r="R46" i="9"/>
  <c r="S46" i="9"/>
  <c r="T46" i="9"/>
  <c r="U46" i="9"/>
  <c r="M47" i="9"/>
  <c r="N47" i="9"/>
  <c r="O47" i="9"/>
  <c r="P47" i="9"/>
  <c r="Q47" i="9"/>
  <c r="R47" i="9"/>
  <c r="S47" i="9"/>
  <c r="T47" i="9"/>
  <c r="U47" i="9"/>
  <c r="N33" i="9"/>
  <c r="O33" i="9"/>
  <c r="P33" i="9"/>
  <c r="Q33" i="9"/>
  <c r="R33" i="9"/>
  <c r="S33" i="9"/>
  <c r="T33" i="9"/>
  <c r="U33" i="9"/>
  <c r="M33" i="9"/>
  <c r="M19" i="9"/>
  <c r="N19" i="9"/>
  <c r="O19" i="9"/>
  <c r="P19" i="9"/>
  <c r="Q19" i="9"/>
  <c r="R19" i="9"/>
  <c r="S19" i="9"/>
  <c r="T19" i="9"/>
  <c r="U19" i="9"/>
  <c r="M20" i="9"/>
  <c r="N20" i="9"/>
  <c r="O20" i="9"/>
  <c r="P20" i="9"/>
  <c r="Q20" i="9"/>
  <c r="R20" i="9"/>
  <c r="S20" i="9"/>
  <c r="T20" i="9"/>
  <c r="U20" i="9"/>
  <c r="M21" i="9"/>
  <c r="N21" i="9"/>
  <c r="O21" i="9"/>
  <c r="P21" i="9"/>
  <c r="Q21" i="9"/>
  <c r="R21" i="9"/>
  <c r="S21" i="9"/>
  <c r="T21" i="9"/>
  <c r="U21" i="9"/>
  <c r="M22" i="9"/>
  <c r="N22" i="9"/>
  <c r="O22" i="9"/>
  <c r="P22" i="9"/>
  <c r="Q22" i="9"/>
  <c r="R22" i="9"/>
  <c r="S22" i="9"/>
  <c r="T22" i="9"/>
  <c r="U22" i="9"/>
  <c r="M23" i="9"/>
  <c r="N23" i="9"/>
  <c r="O23" i="9"/>
  <c r="P23" i="9"/>
  <c r="Q23" i="9"/>
  <c r="R23" i="9"/>
  <c r="S23" i="9"/>
  <c r="T23" i="9"/>
  <c r="U23" i="9"/>
  <c r="M24" i="9"/>
  <c r="N24" i="9"/>
  <c r="O24" i="9"/>
  <c r="P24" i="9"/>
  <c r="Q24" i="9"/>
  <c r="R24" i="9"/>
  <c r="S24" i="9"/>
  <c r="T24" i="9"/>
  <c r="U24" i="9"/>
  <c r="M25" i="9"/>
  <c r="N25" i="9"/>
  <c r="O25" i="9"/>
  <c r="P25" i="9"/>
  <c r="Q25" i="9"/>
  <c r="R25" i="9"/>
  <c r="S25" i="9"/>
  <c r="T25" i="9"/>
  <c r="U25" i="9"/>
  <c r="M26" i="9"/>
  <c r="N26" i="9"/>
  <c r="O26" i="9"/>
  <c r="P26" i="9"/>
  <c r="Q26" i="9"/>
  <c r="R26" i="9"/>
  <c r="S26" i="9"/>
  <c r="T26" i="9"/>
  <c r="U26" i="9"/>
  <c r="M27" i="9"/>
  <c r="N27" i="9"/>
  <c r="O27" i="9"/>
  <c r="P27" i="9"/>
  <c r="Q27" i="9"/>
  <c r="R27" i="9"/>
  <c r="S27" i="9"/>
  <c r="T27" i="9"/>
  <c r="U27" i="9"/>
  <c r="M28" i="9"/>
  <c r="N28" i="9"/>
  <c r="O28" i="9"/>
  <c r="P28" i="9"/>
  <c r="Q28" i="9"/>
  <c r="R28" i="9"/>
  <c r="S28" i="9"/>
  <c r="T28" i="9"/>
  <c r="U28" i="9"/>
  <c r="M29" i="9"/>
  <c r="N29" i="9"/>
  <c r="O29" i="9"/>
  <c r="P29" i="9"/>
  <c r="Q29" i="9"/>
  <c r="R29" i="9"/>
  <c r="S29" i="9"/>
  <c r="T29" i="9"/>
  <c r="U29" i="9"/>
  <c r="M30" i="9"/>
  <c r="N30" i="9"/>
  <c r="O30" i="9"/>
  <c r="P30" i="9"/>
  <c r="Q30" i="9"/>
  <c r="R30" i="9"/>
  <c r="S30" i="9"/>
  <c r="T30" i="9"/>
  <c r="U30" i="9"/>
  <c r="M31" i="9"/>
  <c r="N31" i="9"/>
  <c r="O31" i="9"/>
  <c r="P31" i="9"/>
  <c r="Q31" i="9"/>
  <c r="R31" i="9"/>
  <c r="S31" i="9"/>
  <c r="T31" i="9"/>
  <c r="U31" i="9"/>
  <c r="M32" i="9"/>
  <c r="N32" i="9"/>
  <c r="O32" i="9"/>
  <c r="P32" i="9"/>
  <c r="Q32" i="9"/>
  <c r="R32" i="9"/>
  <c r="S32" i="9"/>
  <c r="T32" i="9"/>
  <c r="U32" i="9"/>
  <c r="N18" i="9"/>
  <c r="O18" i="9"/>
  <c r="P18" i="9"/>
  <c r="Q18" i="9"/>
  <c r="R18" i="9"/>
  <c r="S18" i="9"/>
  <c r="T18" i="9"/>
  <c r="U18" i="9"/>
  <c r="M18" i="9"/>
  <c r="M4" i="9"/>
  <c r="N4" i="9"/>
  <c r="O4" i="9"/>
  <c r="P4" i="9"/>
  <c r="Q4" i="9"/>
  <c r="R4" i="9"/>
  <c r="S4" i="9"/>
  <c r="T4" i="9"/>
  <c r="U4" i="9"/>
  <c r="M5" i="9"/>
  <c r="O5" i="9"/>
  <c r="P5" i="9"/>
  <c r="Q5" i="9"/>
  <c r="R5" i="9"/>
  <c r="S5" i="9"/>
  <c r="T5" i="9"/>
  <c r="U5" i="9"/>
  <c r="M6" i="9"/>
  <c r="N6" i="9"/>
  <c r="O6" i="9"/>
  <c r="P6" i="9"/>
  <c r="Q6" i="9"/>
  <c r="R6" i="9"/>
  <c r="S6" i="9"/>
  <c r="T6" i="9"/>
  <c r="U6" i="9"/>
  <c r="M7" i="9"/>
  <c r="N7" i="9"/>
  <c r="O7" i="9"/>
  <c r="P7" i="9"/>
  <c r="Q7" i="9"/>
  <c r="R7" i="9"/>
  <c r="S7" i="9"/>
  <c r="T7" i="9"/>
  <c r="U7" i="9"/>
  <c r="M8" i="9"/>
  <c r="N8" i="9"/>
  <c r="O8" i="9"/>
  <c r="P8" i="9"/>
  <c r="Q8" i="9"/>
  <c r="R8" i="9"/>
  <c r="S8" i="9"/>
  <c r="T8" i="9"/>
  <c r="U8" i="9"/>
  <c r="M9" i="9"/>
  <c r="N9" i="9"/>
  <c r="O9" i="9"/>
  <c r="P9" i="9"/>
  <c r="Q9" i="9"/>
  <c r="R9" i="9"/>
  <c r="S9" i="9"/>
  <c r="T9" i="9"/>
  <c r="U9" i="9"/>
  <c r="M10" i="9"/>
  <c r="N10" i="9"/>
  <c r="O10" i="9"/>
  <c r="P10" i="9"/>
  <c r="Q10" i="9"/>
  <c r="R10" i="9"/>
  <c r="S10" i="9"/>
  <c r="T10" i="9"/>
  <c r="U10" i="9"/>
  <c r="M11" i="9"/>
  <c r="N11" i="9"/>
  <c r="O11" i="9"/>
  <c r="P11" i="9"/>
  <c r="Q11" i="9"/>
  <c r="R11" i="9"/>
  <c r="S11" i="9"/>
  <c r="T11" i="9"/>
  <c r="U11" i="9"/>
  <c r="M12" i="9"/>
  <c r="N12" i="9"/>
  <c r="O12" i="9"/>
  <c r="P12" i="9"/>
  <c r="Q12" i="9"/>
  <c r="R12" i="9"/>
  <c r="S12" i="9"/>
  <c r="T12" i="9"/>
  <c r="U12" i="9"/>
  <c r="M13" i="9"/>
  <c r="N13" i="9"/>
  <c r="O13" i="9"/>
  <c r="P13" i="9"/>
  <c r="Q13" i="9"/>
  <c r="R13" i="9"/>
  <c r="S13" i="9"/>
  <c r="T13" i="9"/>
  <c r="U13" i="9"/>
  <c r="M14" i="9"/>
  <c r="N14" i="9"/>
  <c r="O14" i="9"/>
  <c r="P14" i="9"/>
  <c r="Q14" i="9"/>
  <c r="R14" i="9"/>
  <c r="S14" i="9"/>
  <c r="T14" i="9"/>
  <c r="U14" i="9"/>
  <c r="M15" i="9"/>
  <c r="N15" i="9"/>
  <c r="O15" i="9"/>
  <c r="P15" i="9"/>
  <c r="Q15" i="9"/>
  <c r="R15" i="9"/>
  <c r="S15" i="9"/>
  <c r="T15" i="9"/>
  <c r="U15" i="9"/>
  <c r="M16" i="9"/>
  <c r="N16" i="9"/>
  <c r="O16" i="9"/>
  <c r="P16" i="9"/>
  <c r="Q16" i="9"/>
  <c r="R16" i="9"/>
  <c r="S16" i="9"/>
  <c r="T16" i="9"/>
  <c r="U16" i="9"/>
  <c r="M17" i="9"/>
  <c r="N17" i="9"/>
  <c r="O17" i="9"/>
  <c r="P17" i="9"/>
  <c r="Q17" i="9"/>
  <c r="R17" i="9"/>
  <c r="S17" i="9"/>
  <c r="T17" i="9"/>
  <c r="U17" i="9"/>
  <c r="N3" i="9"/>
  <c r="O3" i="9"/>
  <c r="P3" i="9"/>
  <c r="Q3" i="9"/>
  <c r="R3" i="9"/>
  <c r="S3" i="9"/>
  <c r="T3" i="9"/>
  <c r="U3" i="9"/>
  <c r="M3" i="9"/>
  <c r="K1" i="19"/>
  <c r="K1" i="18"/>
  <c r="D4" i="18"/>
  <c r="K1" i="17"/>
  <c r="D4" i="17"/>
  <c r="S2" i="19"/>
  <c r="R2" i="19"/>
  <c r="E11" i="1"/>
  <c r="Q2" i="19"/>
  <c r="P2" i="19"/>
  <c r="O2" i="19"/>
  <c r="N2" i="19"/>
  <c r="M2" i="19"/>
  <c r="L2" i="19"/>
  <c r="D11" i="1"/>
  <c r="K2" i="19"/>
  <c r="J2" i="19"/>
  <c r="I2" i="19"/>
  <c r="H2" i="19"/>
  <c r="G2" i="19"/>
  <c r="F2" i="19"/>
  <c r="E2" i="19"/>
  <c r="D2" i="19"/>
  <c r="C2" i="19"/>
  <c r="B2" i="19"/>
  <c r="S2" i="18"/>
  <c r="R2" i="18"/>
  <c r="E10" i="1"/>
  <c r="Q2" i="18"/>
  <c r="P2" i="18"/>
  <c r="O2" i="18"/>
  <c r="N2" i="18"/>
  <c r="M2" i="18"/>
  <c r="L2" i="18"/>
  <c r="D10" i="1"/>
  <c r="K2" i="18"/>
  <c r="J2" i="18"/>
  <c r="I2" i="18"/>
  <c r="H2" i="18"/>
  <c r="G2" i="18"/>
  <c r="F2" i="18"/>
  <c r="E2" i="18"/>
  <c r="D2" i="18"/>
  <c r="C2" i="18"/>
  <c r="B2" i="18"/>
  <c r="S2" i="17"/>
  <c r="R2" i="17"/>
  <c r="E9" i="1"/>
  <c r="Q2" i="17"/>
  <c r="P2" i="17"/>
  <c r="O2" i="17"/>
  <c r="N2" i="17"/>
  <c r="M2" i="17"/>
  <c r="L2" i="17"/>
  <c r="D9" i="1"/>
  <c r="K2" i="17"/>
  <c r="J2" i="17"/>
  <c r="I2" i="17"/>
  <c r="H2" i="17"/>
  <c r="G2" i="17"/>
  <c r="F2" i="17"/>
  <c r="E2" i="17"/>
  <c r="D2" i="17"/>
  <c r="C2" i="17"/>
  <c r="B2" i="17"/>
  <c r="K1" i="16"/>
  <c r="H6" i="16"/>
  <c r="S2" i="16"/>
  <c r="R2" i="16"/>
  <c r="E8" i="1"/>
  <c r="Q2" i="16"/>
  <c r="P2" i="16"/>
  <c r="O2" i="16"/>
  <c r="N2" i="16"/>
  <c r="M2" i="16"/>
  <c r="L2" i="16"/>
  <c r="D8" i="1"/>
  <c r="K2" i="16"/>
  <c r="J2" i="16"/>
  <c r="I2" i="16"/>
  <c r="H2" i="16"/>
  <c r="G2" i="16"/>
  <c r="F2" i="16"/>
  <c r="E2" i="16"/>
  <c r="D2" i="16"/>
  <c r="C2" i="16"/>
  <c r="B2" i="16"/>
  <c r="K1" i="15"/>
  <c r="S2" i="15"/>
  <c r="R2" i="15"/>
  <c r="E7" i="1"/>
  <c r="Q2" i="15"/>
  <c r="P2" i="15"/>
  <c r="O2" i="15"/>
  <c r="N2" i="15"/>
  <c r="M2" i="15"/>
  <c r="L2" i="15"/>
  <c r="D7" i="1"/>
  <c r="K2" i="15"/>
  <c r="J2" i="15"/>
  <c r="I2" i="15"/>
  <c r="H2" i="15"/>
  <c r="G2" i="15"/>
  <c r="F2" i="15"/>
  <c r="E2" i="15"/>
  <c r="D2" i="15"/>
  <c r="C2" i="15"/>
  <c r="B2" i="15"/>
  <c r="P2" i="3"/>
  <c r="R2" i="3"/>
  <c r="E6" i="1"/>
  <c r="K1" i="3"/>
  <c r="C5" i="3"/>
  <c r="S2" i="3"/>
  <c r="O2" i="3"/>
  <c r="Q2" i="3"/>
  <c r="N2" i="3"/>
  <c r="K2" i="3"/>
  <c r="L2" i="3"/>
  <c r="D6" i="1"/>
  <c r="M2" i="3"/>
  <c r="C2" i="3"/>
  <c r="D2" i="3"/>
  <c r="E2" i="3"/>
  <c r="F2" i="3"/>
  <c r="G2" i="3"/>
  <c r="H2" i="3"/>
  <c r="I2" i="3"/>
  <c r="J2" i="3"/>
  <c r="B2" i="3"/>
  <c r="A6" i="19"/>
  <c r="A5" i="19"/>
  <c r="A4" i="19"/>
  <c r="A7" i="19"/>
  <c r="A8" i="19"/>
  <c r="A9" i="19"/>
  <c r="A10" i="19"/>
  <c r="A11" i="19"/>
  <c r="A12" i="19"/>
  <c r="A13" i="19"/>
  <c r="A14" i="19"/>
  <c r="A3" i="19"/>
  <c r="D5" i="15"/>
  <c r="G8" i="15"/>
  <c r="G3" i="19"/>
  <c r="I8" i="19"/>
  <c r="I14" i="19"/>
  <c r="I12" i="19"/>
  <c r="H12" i="19"/>
  <c r="I11" i="19"/>
  <c r="I10" i="19"/>
  <c r="H8" i="19"/>
  <c r="H11" i="19"/>
  <c r="H14" i="19"/>
  <c r="H10" i="19"/>
  <c r="I13" i="19"/>
  <c r="I9" i="19"/>
  <c r="H13" i="19"/>
  <c r="H9" i="19"/>
  <c r="B14" i="18"/>
  <c r="D12" i="1"/>
  <c r="H9" i="15"/>
  <c r="H4" i="15"/>
  <c r="F4" i="15"/>
  <c r="D12" i="18"/>
  <c r="I16" i="15"/>
  <c r="D13" i="15"/>
  <c r="E4" i="15"/>
  <c r="C15" i="15"/>
  <c r="I11" i="15"/>
  <c r="I14" i="17"/>
  <c r="C9" i="19"/>
  <c r="G11" i="15"/>
  <c r="E9" i="19"/>
  <c r="I4" i="19"/>
  <c r="J12" i="19"/>
  <c r="B8" i="15"/>
  <c r="C13" i="17"/>
  <c r="G4" i="19"/>
  <c r="D7" i="19"/>
  <c r="C6" i="15"/>
  <c r="D11" i="17"/>
  <c r="G12" i="19"/>
  <c r="F4" i="19"/>
  <c r="J10" i="3"/>
  <c r="B9" i="19"/>
  <c r="E14" i="19"/>
  <c r="H6" i="19"/>
  <c r="I7" i="3"/>
  <c r="E7" i="16"/>
  <c r="C4" i="17"/>
  <c r="E15" i="15"/>
  <c r="J7" i="15"/>
  <c r="H16" i="17"/>
  <c r="F13" i="19"/>
  <c r="J9" i="19"/>
  <c r="G9" i="17"/>
  <c r="E3" i="19"/>
  <c r="C8" i="19"/>
  <c r="G5" i="19"/>
  <c r="H7" i="17"/>
  <c r="C11" i="19"/>
  <c r="G7" i="19"/>
  <c r="B5" i="19"/>
  <c r="D8" i="15"/>
  <c r="B6" i="17"/>
  <c r="F14" i="19"/>
  <c r="J10" i="19"/>
  <c r="E7" i="19"/>
  <c r="I6" i="19"/>
  <c r="J14" i="3"/>
  <c r="J13" i="3"/>
  <c r="J16" i="17"/>
  <c r="E13" i="17"/>
  <c r="I9" i="17"/>
  <c r="D6" i="17"/>
  <c r="J11" i="3"/>
  <c r="D15" i="15"/>
  <c r="H11" i="15"/>
  <c r="C8" i="15"/>
  <c r="G4" i="15"/>
  <c r="F14" i="16"/>
  <c r="I16" i="17"/>
  <c r="D13" i="17"/>
  <c r="H9" i="17"/>
  <c r="C6" i="17"/>
  <c r="G14" i="19"/>
  <c r="B11" i="19"/>
  <c r="D9" i="19"/>
  <c r="F7" i="19"/>
  <c r="H4" i="19"/>
  <c r="J6" i="19"/>
  <c r="G16" i="17"/>
  <c r="B13" i="17"/>
  <c r="J3" i="3"/>
  <c r="J7" i="3"/>
  <c r="D3" i="15"/>
  <c r="G13" i="15"/>
  <c r="B10" i="15"/>
  <c r="F6" i="15"/>
  <c r="C15" i="17"/>
  <c r="G11" i="17"/>
  <c r="B8" i="17"/>
  <c r="F4" i="17"/>
  <c r="H3" i="19"/>
  <c r="B12" i="19"/>
  <c r="D10" i="19"/>
  <c r="F8" i="19"/>
  <c r="J5" i="19"/>
  <c r="C6" i="19"/>
  <c r="J5" i="17"/>
  <c r="J16" i="3"/>
  <c r="J6" i="3"/>
  <c r="C3" i="15"/>
  <c r="F13" i="15"/>
  <c r="J9" i="15"/>
  <c r="E6" i="15"/>
  <c r="B15" i="17"/>
  <c r="F11" i="17"/>
  <c r="J7" i="17"/>
  <c r="E4" i="17"/>
  <c r="J11" i="19"/>
  <c r="C10" i="19"/>
  <c r="E8" i="19"/>
  <c r="I5" i="19"/>
  <c r="B6" i="19"/>
  <c r="B11" i="3"/>
  <c r="J8" i="3"/>
  <c r="B15" i="15"/>
  <c r="F11" i="15"/>
  <c r="F9" i="17"/>
  <c r="J15" i="3"/>
  <c r="J5" i="3"/>
  <c r="J16" i="15"/>
  <c r="E13" i="15"/>
  <c r="I9" i="15"/>
  <c r="D6" i="15"/>
  <c r="J14" i="17"/>
  <c r="E11" i="17"/>
  <c r="I7" i="17"/>
  <c r="F3" i="19"/>
  <c r="G13" i="19"/>
  <c r="B10" i="19"/>
  <c r="D8" i="19"/>
  <c r="H5" i="19"/>
  <c r="F3" i="16"/>
  <c r="G15" i="16"/>
  <c r="I13" i="16"/>
  <c r="B12" i="16"/>
  <c r="D10" i="16"/>
  <c r="F8" i="16"/>
  <c r="J4" i="16"/>
  <c r="E3" i="16"/>
  <c r="F15" i="16"/>
  <c r="H13" i="16"/>
  <c r="I4" i="16"/>
  <c r="I3" i="15"/>
  <c r="J15" i="15"/>
  <c r="C14" i="15"/>
  <c r="E12" i="15"/>
  <c r="G10" i="15"/>
  <c r="I8" i="15"/>
  <c r="B7" i="15"/>
  <c r="E16" i="16"/>
  <c r="G14" i="16"/>
  <c r="I12" i="16"/>
  <c r="B11" i="16"/>
  <c r="D9" i="16"/>
  <c r="F7" i="16"/>
  <c r="H5" i="16"/>
  <c r="H4" i="17"/>
  <c r="G5" i="17"/>
  <c r="F6" i="17"/>
  <c r="E7" i="17"/>
  <c r="D8" i="17"/>
  <c r="C9" i="17"/>
  <c r="B10" i="17"/>
  <c r="J10" i="17"/>
  <c r="I11" i="17"/>
  <c r="H12" i="17"/>
  <c r="G13" i="17"/>
  <c r="F14" i="17"/>
  <c r="E15" i="17"/>
  <c r="D16" i="17"/>
  <c r="D3" i="17"/>
  <c r="I4" i="17"/>
  <c r="H5" i="17"/>
  <c r="G6" i="17"/>
  <c r="F7" i="17"/>
  <c r="E8" i="17"/>
  <c r="D9" i="17"/>
  <c r="C10" i="17"/>
  <c r="B11" i="17"/>
  <c r="J11" i="17"/>
  <c r="I12" i="17"/>
  <c r="H13" i="17"/>
  <c r="G14" i="17"/>
  <c r="F15" i="17"/>
  <c r="E16" i="17"/>
  <c r="E3" i="17"/>
  <c r="B4" i="17"/>
  <c r="J4" i="17"/>
  <c r="I5" i="17"/>
  <c r="H6" i="17"/>
  <c r="G7" i="17"/>
  <c r="F8" i="17"/>
  <c r="E9" i="17"/>
  <c r="D10" i="17"/>
  <c r="C11" i="17"/>
  <c r="B12" i="17"/>
  <c r="J12" i="17"/>
  <c r="I13" i="17"/>
  <c r="H14" i="17"/>
  <c r="G15" i="17"/>
  <c r="F16" i="17"/>
  <c r="F3" i="17"/>
  <c r="G4" i="17"/>
  <c r="F5" i="17"/>
  <c r="E6" i="17"/>
  <c r="D7" i="17"/>
  <c r="C8" i="17"/>
  <c r="B9" i="17"/>
  <c r="J9" i="17"/>
  <c r="I10" i="17"/>
  <c r="H11" i="17"/>
  <c r="G12" i="17"/>
  <c r="F13" i="17"/>
  <c r="E14" i="17"/>
  <c r="D15" i="17"/>
  <c r="C16" i="17"/>
  <c r="C3" i="17"/>
  <c r="B3" i="17"/>
  <c r="G3" i="17"/>
  <c r="H15" i="17"/>
  <c r="J13" i="17"/>
  <c r="C12" i="17"/>
  <c r="E10" i="17"/>
  <c r="G8" i="17"/>
  <c r="I6" i="17"/>
  <c r="B5" i="17"/>
  <c r="I3" i="18"/>
  <c r="J15" i="18"/>
  <c r="C14" i="18"/>
  <c r="E12" i="18"/>
  <c r="I9" i="18"/>
  <c r="I7" i="18"/>
  <c r="D5" i="18"/>
  <c r="I15" i="18"/>
  <c r="C5" i="18"/>
  <c r="J10" i="16"/>
  <c r="G3" i="16"/>
  <c r="J13" i="16"/>
  <c r="B5" i="16"/>
  <c r="G3" i="18"/>
  <c r="H15" i="18"/>
  <c r="J13" i="18"/>
  <c r="G11" i="18"/>
  <c r="G9" i="18"/>
  <c r="B7" i="18"/>
  <c r="F4" i="18"/>
  <c r="J16" i="18"/>
  <c r="C15" i="18"/>
  <c r="E13" i="18"/>
  <c r="F11" i="18"/>
  <c r="J8" i="18"/>
  <c r="J6" i="18"/>
  <c r="E4" i="18"/>
  <c r="E4" i="16"/>
  <c r="D5" i="16"/>
  <c r="C6" i="16"/>
  <c r="B7" i="16"/>
  <c r="J7" i="16"/>
  <c r="I8" i="16"/>
  <c r="H9" i="16"/>
  <c r="G10" i="16"/>
  <c r="F11" i="16"/>
  <c r="E12" i="16"/>
  <c r="D13" i="16"/>
  <c r="C14" i="16"/>
  <c r="B15" i="16"/>
  <c r="J15" i="16"/>
  <c r="I16" i="16"/>
  <c r="I3" i="16"/>
  <c r="F4" i="16"/>
  <c r="E5" i="16"/>
  <c r="D6" i="16"/>
  <c r="C7" i="16"/>
  <c r="B8" i="16"/>
  <c r="J8" i="16"/>
  <c r="I9" i="16"/>
  <c r="H10" i="16"/>
  <c r="G11" i="16"/>
  <c r="F12" i="16"/>
  <c r="E13" i="16"/>
  <c r="D14" i="16"/>
  <c r="C15" i="16"/>
  <c r="B16" i="16"/>
  <c r="J16" i="16"/>
  <c r="J3" i="16"/>
  <c r="G4" i="16"/>
  <c r="F5" i="16"/>
  <c r="E6" i="16"/>
  <c r="D7" i="16"/>
  <c r="C8" i="16"/>
  <c r="B9" i="16"/>
  <c r="J9" i="16"/>
  <c r="I10" i="16"/>
  <c r="H11" i="16"/>
  <c r="G12" i="16"/>
  <c r="F13" i="16"/>
  <c r="E14" i="16"/>
  <c r="D15" i="16"/>
  <c r="C16" i="16"/>
  <c r="C3" i="16"/>
  <c r="B3" i="16"/>
  <c r="D4" i="16"/>
  <c r="C5" i="16"/>
  <c r="B6" i="16"/>
  <c r="J6" i="16"/>
  <c r="I7" i="16"/>
  <c r="H8" i="16"/>
  <c r="G9" i="16"/>
  <c r="F10" i="16"/>
  <c r="E11" i="16"/>
  <c r="D12" i="16"/>
  <c r="C13" i="16"/>
  <c r="B14" i="16"/>
  <c r="J14" i="16"/>
  <c r="I15" i="16"/>
  <c r="H16" i="16"/>
  <c r="H3" i="16"/>
  <c r="D16" i="16"/>
  <c r="H12" i="16"/>
  <c r="C9" i="16"/>
  <c r="G5" i="16"/>
  <c r="C7" i="18"/>
  <c r="J11" i="16"/>
  <c r="I16" i="18"/>
  <c r="H4" i="18"/>
  <c r="G5" i="18"/>
  <c r="F6" i="18"/>
  <c r="E7" i="18"/>
  <c r="D8" i="18"/>
  <c r="C9" i="18"/>
  <c r="B10" i="18"/>
  <c r="J10" i="18"/>
  <c r="I11" i="18"/>
  <c r="H12" i="18"/>
  <c r="G13" i="18"/>
  <c r="F14" i="18"/>
  <c r="E15" i="18"/>
  <c r="D16" i="18"/>
  <c r="D3" i="18"/>
  <c r="I4" i="18"/>
  <c r="H5" i="18"/>
  <c r="G6" i="18"/>
  <c r="F7" i="18"/>
  <c r="E8" i="18"/>
  <c r="D9" i="18"/>
  <c r="C10" i="18"/>
  <c r="B11" i="18"/>
  <c r="J11" i="18"/>
  <c r="I12" i="18"/>
  <c r="H13" i="18"/>
  <c r="G14" i="18"/>
  <c r="F15" i="18"/>
  <c r="E16" i="18"/>
  <c r="E3" i="18"/>
  <c r="H7" i="18"/>
  <c r="D11" i="18"/>
  <c r="B4" i="18"/>
  <c r="J4" i="18"/>
  <c r="I5" i="18"/>
  <c r="H6" i="18"/>
  <c r="G7" i="18"/>
  <c r="F8" i="18"/>
  <c r="E9" i="18"/>
  <c r="D10" i="18"/>
  <c r="C11" i="18"/>
  <c r="B12" i="18"/>
  <c r="J12" i="18"/>
  <c r="I13" i="18"/>
  <c r="H14" i="18"/>
  <c r="G15" i="18"/>
  <c r="F16" i="18"/>
  <c r="F3" i="18"/>
  <c r="J5" i="18"/>
  <c r="G8" i="18"/>
  <c r="E10" i="18"/>
  <c r="C12" i="18"/>
  <c r="G4" i="18"/>
  <c r="F5" i="18"/>
  <c r="E6" i="18"/>
  <c r="D7" i="18"/>
  <c r="C8" i="18"/>
  <c r="B9" i="18"/>
  <c r="J9" i="18"/>
  <c r="I10" i="18"/>
  <c r="H11" i="18"/>
  <c r="G12" i="18"/>
  <c r="F13" i="18"/>
  <c r="E14" i="18"/>
  <c r="D15" i="18"/>
  <c r="C16" i="18"/>
  <c r="C3" i="18"/>
  <c r="B3" i="18"/>
  <c r="C4" i="18"/>
  <c r="B5" i="18"/>
  <c r="I6" i="18"/>
  <c r="F9" i="18"/>
  <c r="H3" i="18"/>
  <c r="H9" i="18"/>
  <c r="G6" i="16"/>
  <c r="B15" i="18"/>
  <c r="D13" i="18"/>
  <c r="D6" i="18"/>
  <c r="B4" i="15"/>
  <c r="J4" i="15"/>
  <c r="I5" i="15"/>
  <c r="H6" i="15"/>
  <c r="G7" i="15"/>
  <c r="F8" i="15"/>
  <c r="E9" i="15"/>
  <c r="D10" i="15"/>
  <c r="C11" i="15"/>
  <c r="B12" i="15"/>
  <c r="J12" i="15"/>
  <c r="I13" i="15"/>
  <c r="H14" i="15"/>
  <c r="G15" i="15"/>
  <c r="F16" i="15"/>
  <c r="F3" i="15"/>
  <c r="C4" i="15"/>
  <c r="B5" i="15"/>
  <c r="J5" i="15"/>
  <c r="I6" i="15"/>
  <c r="H7" i="15"/>
  <c r="F9" i="15"/>
  <c r="E10" i="15"/>
  <c r="D11" i="15"/>
  <c r="C12" i="15"/>
  <c r="B13" i="15"/>
  <c r="J13" i="15"/>
  <c r="I14" i="15"/>
  <c r="H15" i="15"/>
  <c r="G16" i="15"/>
  <c r="G3" i="15"/>
  <c r="D4" i="15"/>
  <c r="C5" i="15"/>
  <c r="B6" i="15"/>
  <c r="J6" i="15"/>
  <c r="I7" i="15"/>
  <c r="H8" i="15"/>
  <c r="G9" i="15"/>
  <c r="F10" i="15"/>
  <c r="E11" i="15"/>
  <c r="D12" i="15"/>
  <c r="C13" i="15"/>
  <c r="B14" i="15"/>
  <c r="J14" i="15"/>
  <c r="I15" i="15"/>
  <c r="H16" i="15"/>
  <c r="H3" i="15"/>
  <c r="I4" i="15"/>
  <c r="H5" i="15"/>
  <c r="G6" i="15"/>
  <c r="F7" i="15"/>
  <c r="E8" i="15"/>
  <c r="D9" i="15"/>
  <c r="C10" i="15"/>
  <c r="B11" i="15"/>
  <c r="J11" i="15"/>
  <c r="I12" i="15"/>
  <c r="H13" i="15"/>
  <c r="G14" i="15"/>
  <c r="F15" i="15"/>
  <c r="E16" i="15"/>
  <c r="E3" i="15"/>
  <c r="F14" i="15"/>
  <c r="H12" i="15"/>
  <c r="J10" i="15"/>
  <c r="C9" i="15"/>
  <c r="E7" i="15"/>
  <c r="G5" i="15"/>
  <c r="D3" i="16"/>
  <c r="E15" i="16"/>
  <c r="G13" i="16"/>
  <c r="I11" i="16"/>
  <c r="B10" i="16"/>
  <c r="D8" i="16"/>
  <c r="F6" i="16"/>
  <c r="H4" i="16"/>
  <c r="J3" i="17"/>
  <c r="B16" i="17"/>
  <c r="D14" i="17"/>
  <c r="F12" i="17"/>
  <c r="H10" i="17"/>
  <c r="J8" i="17"/>
  <c r="C7" i="17"/>
  <c r="E5" i="17"/>
  <c r="H16" i="18"/>
  <c r="J14" i="18"/>
  <c r="C13" i="18"/>
  <c r="H10" i="18"/>
  <c r="H8" i="18"/>
  <c r="C6" i="18"/>
  <c r="E8" i="16"/>
  <c r="I8" i="18"/>
  <c r="C16" i="15"/>
  <c r="G12" i="15"/>
  <c r="D7" i="15"/>
  <c r="G16" i="16"/>
  <c r="I14" i="16"/>
  <c r="D11" i="16"/>
  <c r="F9" i="16"/>
  <c r="H7" i="16"/>
  <c r="J5" i="16"/>
  <c r="C4" i="16"/>
  <c r="I3" i="17"/>
  <c r="J15" i="17"/>
  <c r="C14" i="17"/>
  <c r="E12" i="17"/>
  <c r="G10" i="17"/>
  <c r="I8" i="17"/>
  <c r="B7" i="17"/>
  <c r="D5" i="17"/>
  <c r="G16" i="18"/>
  <c r="I14" i="18"/>
  <c r="B13" i="18"/>
  <c r="G10" i="18"/>
  <c r="B8" i="18"/>
  <c r="B6" i="18"/>
  <c r="H15" i="16"/>
  <c r="C12" i="16"/>
  <c r="E10" i="16"/>
  <c r="G8" i="16"/>
  <c r="I6" i="16"/>
  <c r="C10" i="16"/>
  <c r="E11" i="18"/>
  <c r="D16" i="15"/>
  <c r="B3" i="15"/>
  <c r="E14" i="15"/>
  <c r="I10" i="15"/>
  <c r="B9" i="15"/>
  <c r="F5" i="15"/>
  <c r="B13" i="16"/>
  <c r="J3" i="15"/>
  <c r="B16" i="15"/>
  <c r="D14" i="15"/>
  <c r="F12" i="15"/>
  <c r="H10" i="15"/>
  <c r="J8" i="15"/>
  <c r="C7" i="15"/>
  <c r="E5" i="15"/>
  <c r="F16" i="16"/>
  <c r="H14" i="16"/>
  <c r="J12" i="16"/>
  <c r="C11" i="16"/>
  <c r="E9" i="16"/>
  <c r="G7" i="16"/>
  <c r="I5" i="16"/>
  <c r="B4" i="16"/>
  <c r="H3" i="17"/>
  <c r="I15" i="17"/>
  <c r="B14" i="17"/>
  <c r="D12" i="17"/>
  <c r="F10" i="17"/>
  <c r="H8" i="17"/>
  <c r="J6" i="17"/>
  <c r="C5" i="17"/>
  <c r="J3" i="18"/>
  <c r="B16" i="18"/>
  <c r="D14" i="18"/>
  <c r="F12" i="18"/>
  <c r="F10" i="18"/>
  <c r="J7" i="18"/>
  <c r="E5" i="18"/>
  <c r="J4" i="3"/>
  <c r="J9" i="3"/>
  <c r="I3" i="19"/>
  <c r="J13" i="19"/>
  <c r="B13" i="19"/>
  <c r="C12" i="19"/>
  <c r="D11" i="19"/>
  <c r="E10" i="19"/>
  <c r="F9" i="19"/>
  <c r="G8" i="19"/>
  <c r="H7" i="19"/>
  <c r="J4" i="19"/>
  <c r="B4" i="19"/>
  <c r="C5" i="19"/>
  <c r="D6" i="19"/>
  <c r="J12" i="3"/>
  <c r="D3" i="19"/>
  <c r="D14" i="19"/>
  <c r="E13" i="19"/>
  <c r="F12" i="19"/>
  <c r="G11" i="19"/>
  <c r="J8" i="19"/>
  <c r="B8" i="19"/>
  <c r="C7" i="19"/>
  <c r="E4" i="19"/>
  <c r="F5" i="19"/>
  <c r="G6" i="19"/>
  <c r="B3" i="19"/>
  <c r="C3" i="19"/>
  <c r="C14" i="19"/>
  <c r="D13" i="19"/>
  <c r="E12" i="19"/>
  <c r="F11" i="19"/>
  <c r="G10" i="19"/>
  <c r="J7" i="19"/>
  <c r="B7" i="19"/>
  <c r="D4" i="19"/>
  <c r="E5" i="19"/>
  <c r="F6" i="19"/>
  <c r="J3" i="19"/>
  <c r="J14" i="19"/>
  <c r="B14" i="19"/>
  <c r="C13" i="19"/>
  <c r="D12" i="19"/>
  <c r="E11" i="19"/>
  <c r="F10" i="19"/>
  <c r="G9" i="19"/>
  <c r="I7" i="19"/>
  <c r="C4" i="19"/>
  <c r="D5" i="19"/>
  <c r="E6" i="19"/>
  <c r="I4" i="3"/>
  <c r="I12" i="3"/>
  <c r="I8" i="3"/>
  <c r="I5" i="3"/>
  <c r="B3" i="3"/>
  <c r="H3" i="3"/>
  <c r="H14" i="3"/>
  <c r="H13" i="3"/>
  <c r="H11" i="3"/>
  <c r="H10" i="3"/>
  <c r="H9" i="3"/>
  <c r="H8" i="3"/>
  <c r="H7" i="3"/>
  <c r="H6" i="3"/>
  <c r="H5" i="3"/>
  <c r="B16" i="3"/>
  <c r="B8" i="3"/>
  <c r="G3" i="3"/>
  <c r="G16" i="3"/>
  <c r="G15" i="3"/>
  <c r="G14" i="3"/>
  <c r="G13" i="3"/>
  <c r="G12" i="3"/>
  <c r="G11" i="3"/>
  <c r="G10" i="3"/>
  <c r="G9" i="3"/>
  <c r="G8" i="3"/>
  <c r="G7" i="3"/>
  <c r="G6" i="3"/>
  <c r="G5" i="3"/>
  <c r="I13" i="3"/>
  <c r="B9" i="3"/>
  <c r="H16" i="3"/>
  <c r="H12" i="3"/>
  <c r="B15" i="3"/>
  <c r="F4" i="3"/>
  <c r="F15" i="3"/>
  <c r="F12" i="3"/>
  <c r="F10" i="3"/>
  <c r="F8" i="3"/>
  <c r="F5" i="3"/>
  <c r="B14" i="3"/>
  <c r="B6" i="3"/>
  <c r="E3" i="3"/>
  <c r="E4" i="3"/>
  <c r="E16" i="3"/>
  <c r="E15" i="3"/>
  <c r="E14" i="3"/>
  <c r="E13" i="3"/>
  <c r="E12" i="3"/>
  <c r="E11" i="3"/>
  <c r="E10" i="3"/>
  <c r="E9" i="3"/>
  <c r="E8" i="3"/>
  <c r="E7" i="3"/>
  <c r="E6" i="3"/>
  <c r="E5" i="3"/>
  <c r="I3" i="3"/>
  <c r="I15" i="3"/>
  <c r="I10" i="3"/>
  <c r="H15" i="3"/>
  <c r="F3" i="3"/>
  <c r="F16" i="3"/>
  <c r="F13" i="3"/>
  <c r="F11" i="3"/>
  <c r="F9" i="3"/>
  <c r="F6" i="3"/>
  <c r="B13" i="3"/>
  <c r="B5" i="3"/>
  <c r="D3" i="3"/>
  <c r="D4" i="3"/>
  <c r="D16" i="3"/>
  <c r="D15" i="3"/>
  <c r="D14" i="3"/>
  <c r="D13" i="3"/>
  <c r="D12" i="3"/>
  <c r="D11" i="3"/>
  <c r="D10" i="3"/>
  <c r="D9" i="3"/>
  <c r="D8" i="3"/>
  <c r="D7" i="3"/>
  <c r="D6" i="3"/>
  <c r="D5" i="3"/>
  <c r="B10" i="3"/>
  <c r="I16" i="3"/>
  <c r="I14" i="3"/>
  <c r="I11" i="3"/>
  <c r="I9" i="3"/>
  <c r="I6" i="3"/>
  <c r="H4" i="3"/>
  <c r="B7" i="3"/>
  <c r="F14" i="3"/>
  <c r="F7" i="3"/>
  <c r="B12" i="3"/>
  <c r="B4" i="3"/>
  <c r="C3" i="3"/>
  <c r="C4" i="3"/>
  <c r="C16" i="3"/>
  <c r="C15" i="3"/>
  <c r="C14" i="3"/>
  <c r="C13" i="3"/>
  <c r="C12" i="3"/>
  <c r="C11" i="3"/>
  <c r="C10" i="3"/>
  <c r="C9" i="3"/>
  <c r="C8" i="3"/>
  <c r="C7" i="3"/>
  <c r="C6" i="3"/>
  <c r="E12" i="1"/>
  <c r="C12" i="1"/>
</calcChain>
</file>

<file path=xl/sharedStrings.xml><?xml version="1.0" encoding="utf-8"?>
<sst xmlns="http://schemas.openxmlformats.org/spreadsheetml/2006/main" count="650" uniqueCount="415">
  <si>
    <t>AEC Strategy Implementation</t>
  </si>
  <si>
    <t>2025/2026 Dashboard</t>
  </si>
  <si>
    <t>1ST JAN 2026 TO 30TH SEPT 2026</t>
  </si>
  <si>
    <t>Focus Area</t>
  </si>
  <si>
    <t>Total Outcomes</t>
  </si>
  <si>
    <t>Total Milestones</t>
  </si>
  <si>
    <t>% Complete</t>
  </si>
  <si>
    <t>TOTAL</t>
  </si>
  <si>
    <t>Tracker Instructions</t>
  </si>
  <si>
    <t>Purpose</t>
  </si>
  <si>
    <t>This workbook tracks delivery of AEC’s 2025–2026 strategy across six focus areas. All stakeholders can see the whole spreadsheet; please edit your own tab only</t>
  </si>
  <si>
    <t>How to update</t>
  </si>
  <si>
    <t>1) Click on your focus-area tab, adjust % bottom left to enable seeing all sections</t>
  </si>
  <si>
    <t>2) Scroll down to see all streams. Add notes and modify sections as required; milestones, dates, owners etc.</t>
  </si>
  <si>
    <t>Grey cells and risk levels are not to be changed, white cells can be amended by you. Some cells (status, % and risk cells) have drop down boxes for you to select options</t>
  </si>
  <si>
    <t>3) Set Status and % Complete using drop down boxes</t>
  </si>
  <si>
    <t>4) If actions are delayed, choose a Reason for Delay and add a brief note</t>
  </si>
  <si>
    <t>5) When finished just close the spreadsheet, it is automatically saved. Cancel changes you made by using the Und button in the home tab of the spreadsheet. The Dashboard will update your completion % automatically</t>
  </si>
  <si>
    <t>6) The Dashboard will update your completion % automatically</t>
  </si>
  <si>
    <t>This video shows how to use the spreadsheet:</t>
  </si>
  <si>
    <t>Watch Video</t>
  </si>
  <si>
    <t>Please note: this document and the video are Confidential – Al‑Emaan Centre Internal Use Only. Not to be shared</t>
  </si>
  <si>
    <r>
      <t xml:space="preserve">ULTIMATE AIM : ESTABLISH DIVERSIFIED, SUSTAINABLE INCOME STREAMS </t>
    </r>
    <r>
      <rPr>
        <b/>
        <sz val="18"/>
        <color rgb="FFFF0000"/>
        <rFont val="Calibri"/>
        <family val="2"/>
        <scheme val="minor"/>
      </rPr>
      <t>SLT Lead Behzat</t>
    </r>
  </si>
  <si>
    <t>Deliver a live Funeral Service: Tahreem Funeral Service (operational &amp; marketed)</t>
  </si>
  <si>
    <t>1. Cement policies &amp; procedures
2. Hard Launch
3. Full service provision + £</t>
  </si>
  <si>
    <t>1. Jan - March
2. March
3. Mar - Sept</t>
  </si>
  <si>
    <t>Continuous service improvement, additional fridge set up. Imam and Funeral Director to run roadshow prior to hard launch. Thorough marketing and relationship building- cemeteries, hospitals etc. Add our website link to other masajid and Eternal Gardens website</t>
  </si>
  <si>
    <t>Complete</t>
  </si>
  <si>
    <t>The launch included delivering 21 full funerals, tightening policies and procedures, adding fridges, creating leaflets, livening the website, sending emails and WhatsApp messages, building relationships with Shirley, Penge, Purley, MCWAS, Tunbridge Wells and Maidstone (including use of facilities at Maidstone and TW). Send messages to our community, making a popup for the AEC website, setting up Tahreem@group email, adding our details to the Eternal Gardens website, announcing at jumu'ah. Before hard laucnh we have made a net profit of £20k</t>
  </si>
  <si>
    <t>Shaffiq</t>
  </si>
  <si>
    <t>Launch Green Pages Business Directory (100+ listings.) Launch through MosqueApp</t>
  </si>
  <si>
    <t>Created website offering, Raja to launch and do intital pre registration checks</t>
  </si>
  <si>
    <t>Intro offer; outreach to local businesses; simple sign-up</t>
  </si>
  <si>
    <t>In Progress</t>
  </si>
  <si>
    <t>Raja is on this iA</t>
  </si>
  <si>
    <t>Raise £60k additional funds for waqf investment</t>
  </si>
  <si>
    <t>Ramadhan Waqf fundraising     round 2</t>
  </si>
  <si>
    <t>Last 10 days of Ramadhan</t>
  </si>
  <si>
    <t>Friday talks, create deck for last 10 days of Ramadhan</t>
  </si>
  <si>
    <t>The amount we wanted to raise in the last 10 days of Ramadhan was not realised</t>
  </si>
  <si>
    <t>Will look to HNW network to achieve this</t>
  </si>
  <si>
    <t>Increase waqf investment by further £65k</t>
  </si>
  <si>
    <t>HNW and individual investor approach pack + roadshows</t>
  </si>
  <si>
    <t>Curated deck; Brunei / Malaysian network, donor lunches; targeted HNW outreach</t>
  </si>
  <si>
    <t>Monthly finance dashboard &amp; cost controls</t>
  </si>
  <si>
    <t>Ramadhan BAU fundraising Dashboard creation</t>
  </si>
  <si>
    <t>Budget discipline; procurement policy</t>
  </si>
  <si>
    <r>
      <t xml:space="preserve">ULTIMATE AIM : DEVELOP YOUTH LEADERSHIP + SUCCESSION PLANNING </t>
    </r>
    <r>
      <rPr>
        <b/>
        <sz val="18"/>
        <color rgb="FFFF0000"/>
        <rFont val="Calibri"/>
        <family val="2"/>
        <scheme val="minor"/>
      </rPr>
      <t>SLT Lead Avais</t>
    </r>
  </si>
  <si>
    <t>Establish Youth Council (10 members) + Shadow Trustees + Key staff positions proteges allocated</t>
  </si>
  <si>
    <t>Clear roles; mentor pairing; monthly meetings, Liaise with Madrassa, Scouts, Boxing and Taekwondo functions</t>
  </si>
  <si>
    <t>Target end Ramadan for first results</t>
  </si>
  <si>
    <t xml:space="preserve">Ramadan: Volunteer Request, Omar Youth talks &gt; key to identify youth. 
Youth Experience event plan for post Ramadan. </t>
  </si>
  <si>
    <t xml:space="preserve">Results Ramadan&gt; Youth activiites - building responsibility for the youth across the mosque. Demonstrated across youth events, running the coffee cart (i.e not just running, but also increasing product range to generate more "revenue" for the mosque), youth volunteers. How does this line with pipelne of young leaders: We have identified young leaders who we would recommend as part of a youth leadership strucutre that can support our growth. So based on we have identnfied caditates and now its about setting the strucutre, we have completed 40%, next 20% is setting structure, next 20% is executing it, and final 20% is ensuring its operating as part of the wider management teams. 
Q2: setting up youth board in progress. </t>
  </si>
  <si>
    <t>Quarterly youth volunteer drives</t>
  </si>
  <si>
    <t>School/college outreach; buddy system</t>
  </si>
  <si>
    <t xml:space="preserve">Ramadan - youth voltuneering kicked off. </t>
  </si>
  <si>
    <t>Q1:Results Ramadan: Youth volunteering from our advertising was not as successful but we had youth volunteering more by supporting the young adults i.e. Davids kids were helping coffee stand. We just need a bit more forward planning around youth volunteer requirements leading up to events, lead with young adults .. this will yield better results in future. 
Q2: We are building a core set of youth who are very engaged. Summer will be an important time to build events which bring our youth together.</t>
  </si>
  <si>
    <t>Plan and deliver targeted talks for all youth demographics</t>
  </si>
  <si>
    <t>1 every 2 months</t>
  </si>
  <si>
    <t xml:space="preserve">Working with Omar to create a better set of talks for youth. Focus is not purley on topic, but more on connecting them to mentors + people they can respect/look up too (people who are not to old). First test of this will be in Ramadan. </t>
  </si>
  <si>
    <t>Ramadan Resulst &gt; Continue youth. Omar and Eni doing a great job. Think we need a sisters lead one switch at some point.  60% completion rate once we get consisten cy, have new people joining, 80% once we see engagement from youth outsend youth talks and final 100% swhen we have sister led sessions as well</t>
  </si>
  <si>
    <t>Plan and deliver fortnightly events, social, Islamic, food etc for specific youth demographics</t>
  </si>
  <si>
    <t>2 every month</t>
  </si>
  <si>
    <t>on-going</t>
  </si>
  <si>
    <t xml:space="preserve">While this is aspiration. For youth, possible. We will continue with consistency on boys and girls circles. For the YA, we want to build more on providing experiences e.g. hike at seven sisters etc. Build stronger bonds + friendships. This helps them feel more connected to the mosque and the community. </t>
  </si>
  <si>
    <t xml:space="preserve">Q1: Ideas being progress: 
Experienced based events. 
Volunteering. 
DoE - our first volunteer. 
Building plans. 
Q2: Summer will be key. Where we want to get more volunteers and more experiences for youth. </t>
  </si>
  <si>
    <t>Training calendar (safeguarding, first aid, comms)</t>
  </si>
  <si>
    <t>Book trainers; certificates; track completion</t>
  </si>
  <si>
    <t>18.01.26</t>
  </si>
  <si>
    <t>Begin leadership development programme with Yusra training</t>
  </si>
  <si>
    <t>Completion of pre-training 1-2-1 sessions with OPEX</t>
  </si>
  <si>
    <t>Youth Lead Afsor Miah is captured within this training programme. Following MOSCARS awards ceremony several youth volunteers were identified for consideration for a youth council or shadow trustee/directors board. Shaffiq has put document tyogether detailing proposed structure. Some of the youth m,embers have also attended Yusar training sessions.</t>
  </si>
  <si>
    <t>Increase number of Scouts places- key issue; staffing</t>
  </si>
  <si>
    <t>Increase staff numbers</t>
  </si>
  <si>
    <t>31.01.26</t>
  </si>
  <si>
    <t xml:space="preserve">Advertising targeted for Q1. Story around impact and outcomes. We will keep on top of this. We will review impact. </t>
  </si>
  <si>
    <t>Not Started</t>
  </si>
  <si>
    <t>Risk: Scout leader is leaving. Need to first onboard a new lead
Lack of volunteers are we progressing this?</t>
  </si>
  <si>
    <r>
      <t xml:space="preserve">ULTIMATE AIM : BUILD BENEFICIAL PARTNERSHIPS </t>
    </r>
    <r>
      <rPr>
        <b/>
        <sz val="18"/>
        <color rgb="FFFF0000"/>
        <rFont val="Calibri"/>
        <family val="2"/>
        <scheme val="minor"/>
      </rPr>
      <t>SLT - Lead Matiur</t>
    </r>
  </si>
  <si>
    <t>Sign 5 MOUs with local orgs</t>
  </si>
  <si>
    <t>1. Target list (schools, council, charities); template MOU                                               2. Set up Bromley Citizens UK                                                       3. Recruit more volunteers for Citizens UK</t>
  </si>
  <si>
    <t>1. Apr
2. Sept
3. Feb</t>
  </si>
  <si>
    <t>Further Citizen's UK meeting attended by other community members</t>
  </si>
  <si>
    <t>Founding Assembly of Bromley Citizens to be held on 30th April</t>
  </si>
  <si>
    <t>Deliver 4 open community events</t>
  </si>
  <si>
    <t>Plan calendar; steward training; inclusive themes. Include neighbourhood consultation (first build relationships, then ask what are your needs?)and Interfaith iftar</t>
  </si>
  <si>
    <t xml:space="preserve">Feb - Calendar
May - Eid 
Jun - World Cup
Sep - 
Dec - Christmas </t>
  </si>
  <si>
    <t>Online community Calendar is ready for Ramadan!
Build an informal way of engaging with the mosque space to make it more accessiable for non muslims. 
Event invitations to consider non-muslim community.
Partnerships - tbc</t>
  </si>
  <si>
    <t>Calendar up and running. Testing during Ramdan. Avais and Meryem to own, keep up to date.  Need to make this calendar more avalaible to non muslim community. Coffee Cart super successful, we need to get someone to own this and also this need sto beome a more regular daily service. 
Q2: Progressing well. Eid event we invited wider community. I am keen to do an Art event, farmers market in August etc</t>
  </si>
  <si>
    <t>Publish annual Community Impact Report</t>
  </si>
  <si>
    <t>Collect metrics; case studies; design &amp; print</t>
  </si>
  <si>
    <t>On-going</t>
  </si>
  <si>
    <t>Ensuring data capturing of events is requested before events.  Looking to get more youth to take videos/photos during evets</t>
  </si>
  <si>
    <t>We are getting data for events every time which is good, succewss is shared throguh leads utd, and we are keeping each other updated. Good progress on this and its linked well to marketing</t>
  </si>
  <si>
    <t>Live, active Da'wah project</t>
  </si>
  <si>
    <t>1. Complete purchases of equipment                                     2. Stall permission granted                           3. Volunteer training complete</t>
  </si>
  <si>
    <t>1. Jan end
2. Jan end
3. Jan end</t>
  </si>
  <si>
    <t>Service to become proactive, reaching out to schools /scout groups</t>
  </si>
  <si>
    <t>1. Attract and retain further volunteers
2. Begin actively reaching out to schools/scout groups
3. Engage Bromley College
4. Invite them to our wider events
5. Get them to partake in our Ramadhan Challenge and iftars</t>
  </si>
  <si>
    <t>1. Jan Mid
2. May End
3. Feb End
4. Feb Begin
5. Feb end</t>
  </si>
  <si>
    <t>Successfully attracted and retained additional volunteers to support the mosque visits programme.</t>
  </si>
  <si>
    <t>Participate in regular Interfaith meetings and continue to educate about Islam, lessons learned from our shared  prophets and highlight the advantages of being a people of peace who pray,  fast and are ready to help others</t>
  </si>
  <si>
    <t>1. Get more of our community involved
2. Strengthen relationships with focus on Justice
3. Benefit from learning about how other faiths function,e.g. financial set up of Christians,  power dynamics from Jews.                  4.Plan Islamophobia and anti-semitism workshops</t>
  </si>
  <si>
    <t xml:space="preserve">1. Feb end
2. Apr end
3. Sep end </t>
  </si>
  <si>
    <t>1. Work in progress re drawing more of our community . Issues are due to advertising events late, this is partly due to the sensitive nature of the topics and have been hesitant to advertise.      2</t>
  </si>
  <si>
    <t>Build useful, searchable, regularly updated database of community contacts</t>
  </si>
  <si>
    <t>To be reviewed after Eid. Interfaith iftar invitations was not well executed with many key stakeholders missed</t>
  </si>
  <si>
    <t>Work in progress:</t>
  </si>
  <si>
    <t>5) Ramadan challenge &amp; iftar</t>
  </si>
  <si>
    <t>•</t>
  </si>
  <si>
    <r>
      <t xml:space="preserve">ULTIMATE AIM : DEVELOP LEADERSHIP TEAMS, ESPECIALLY VOLUNTEERS </t>
    </r>
    <r>
      <rPr>
        <b/>
        <sz val="20"/>
        <color rgb="FFFF0000"/>
        <rFont val="Calibri"/>
        <family val="2"/>
        <scheme val="minor"/>
      </rPr>
      <t>SLT Lead Amer</t>
    </r>
  </si>
  <si>
    <t>Train all leads in leadership, governance &amp; safeguarding</t>
  </si>
  <si>
    <t>Book courses; track completion</t>
  </si>
  <si>
    <t>Yusra training starting 18/01/26</t>
  </si>
  <si>
    <t>Leasdership development programme 8 half day sessions over 6-12 months</t>
  </si>
  <si>
    <t>To reconvene after Ramadan.  Traing resumed Fri 1st May. However poor attendance (6 delegetes) Agreed with trainer Shahid to consider hybrid delivery of next session to encourage more attendees. Online Zoom training delivered Sat 20th June successfully with 2 attendees including most Leads and some team members. Good feedback and training well received. Will speak to Shahid at Yusra training to see how this can be delivered for the remaining sessions.  Recent online scheduled session July 18th postponed as trainer's wife unwell. To re-organise.</t>
  </si>
  <si>
    <t>Structured induction pack and build a process to align volunteers to roles</t>
  </si>
  <si>
    <t>Checklist; DBS; H&amp;S; first aid; handbook</t>
  </si>
  <si>
    <t>Will need to liase with Ali to organise DBS, 1st Aid and staff handbook</t>
  </si>
  <si>
    <t xml:space="preserve">No communication from Ali regarding staff handbook </t>
  </si>
  <si>
    <t>Ali has already DBS several leads.</t>
  </si>
  <si>
    <t>Faridah has notified me of her stepping down from AEC duties including OPEX and Leads Utd from 30th March. Conversation with Shaffiq regarding Perkbox. Have messaged Br Behzat with proposal and is being considered.   After further discussion, Perkbox has been parked as not enough interest generated for this platform. Flick still to be considered for recording of volunteer training and documentation. Spoken to Ali rearding taking over the helm of Leads Utd. Ali has now led a couple of meetings asking for monthly updates from the leads. Amer will coninue leading OPEX onboarding volunteers and organising training.</t>
  </si>
  <si>
    <t>Volunteer recognition &amp; retention programme. considering Perkbox and other reward schemes.</t>
  </si>
  <si>
    <t>Badges/PerkBox  Dinner/awards; Yusra training</t>
  </si>
  <si>
    <t>1.Training starting 18.01.26     2. volunteer dinner to be arranged  post ramadan  01.04.26  3. Badges/lanyards 30.03.26</t>
  </si>
  <si>
    <t>Amer to arrange sponsors and speakers for post Ramadan volunteer dinner as per last year. Following a thank you dinner at AEC arranged by Shaffiq and Shazli, I have separated the Leads award ceremony into the 'MOscars' to be held in the first week in  April or first week of June. Families of leads to also be invited to acknowledge their support in the process.</t>
  </si>
  <si>
    <t xml:space="preserve">We did see some new voliunteers sign up at Ramadan but these were drated in the 'Ramadan group' headed by Br Tauffique and Br Shazli who are notably not part of Leads Utd and contunues to be a bone of contention. </t>
  </si>
  <si>
    <t>sponsors to include Abrahams, Cuppa Chai, Langthorne Pharmacy, Garden Square Denta, Kayi Crossfit. MOSCARS Lead Volunteer awards ceremony delivered successfully. Some excellent feedback from this especially with encoragement for youth memebers. Consideration for these youth members to form a youth council or shadow directors committee.  Afsor has stepped back from youth activitie for now due to personal reasons. Will need to organise youth board meeting.</t>
  </si>
  <si>
    <t>Increase volunteers in Digital, Marketing and Outreach Teams</t>
  </si>
  <si>
    <t>Role profiles; mentoring; appraisal process</t>
  </si>
  <si>
    <t>Volunteer drive during Ramadan</t>
  </si>
  <si>
    <t>Request Imam to advertise volunteer rercuitment during Ramadan</t>
  </si>
  <si>
    <t>Imam has his own ideasabout volunteer training. He has run some Zoom online training session pre-Ramadan.</t>
  </si>
  <si>
    <t>Imam Ossama had mentioned volunteers for Ramadan at Jummah Khutbah . After the departure of Imam Ossama we have not as yet led a volunteer drive but individiual gropups are reaching out to theoir own networks to recruit eg dawah project Ahmed Rawi. Still need top recruit further for SEND Tech team, and Scouts following imminent departure of Saira who is currently Lead.</t>
  </si>
  <si>
    <r>
      <t xml:space="preserve">ULTIMATE AIM : DEVELOP A VIBRANT CALENDAR OF ENGAGING EVENTS, GROW ATTENDANCE + VOLUNTEER APPRECIATION </t>
    </r>
    <r>
      <rPr>
        <b/>
        <sz val="14"/>
        <color theme="3" tint="0.59999389629810485"/>
        <rFont val="Calibri"/>
        <family val="2"/>
        <scheme val="minor"/>
      </rPr>
      <t>SLT Lead Avais</t>
    </r>
  </si>
  <si>
    <t>Deliver 10 high-impact events. Quarterly themes; partnerships; family focus</t>
  </si>
  <si>
    <t>Big ticket events: Community and Neighbour Consultations, Eids,Volunteer thank you, Mosque Fayre, family BBQ, talks. Communicate these through calendar, newsletters and Annual Report</t>
  </si>
  <si>
    <t xml:space="preserve">Events wise, structure, lot of good things. Big community events we need to now plan post ramadan. </t>
  </si>
  <si>
    <t>Strengthen visibility and engagement of community activities via social media and WhatsApp, contributing to at least a 25% increase in event attendance vs 2025 baseline</t>
  </si>
  <si>
    <t>1. Coordinated social media &amp; WhatsApp promotion for all major community events.
2. Published and regularly updated community events calendar (online and/or on-site).
3. Systematic post-event feedback and attendance tracking after major events.</t>
  </si>
  <si>
    <t xml:space="preserve">Jan 2026: Initial coordinated promotion in place + draft calendar created.  
Feb 2026: Online calendar live and used for Ramadan communications.  
Jun 2026: Regular promotion embedded + feedback piloted.  
Sept 2026: Approach fully embedded with systematic feedback and attendance tracking.
</t>
  </si>
  <si>
    <t>Work with the Events Team to coordinate promotion of major community activities via social media and WhatsApp; work with the Digital Team to maintain an up-to-date online events calendar; and support the rollout of simple post-event feedback and attendance tracking.</t>
  </si>
  <si>
    <t>Ramadan programme successfully delivered with very strong attendance and engagement; mosque consistently full across key events. Coordinated promotion via WhatsApp and social media, supported by live events calendar. Positive feedback and compliments received from the community</t>
  </si>
  <si>
    <t>Clear electronic calendar of events for staff and community to see/access</t>
  </si>
  <si>
    <t>1. Set up calendars
2. Integrate
3. Share</t>
  </si>
  <si>
    <t>1. Jan
2.Jan
3. Feb</t>
  </si>
  <si>
    <r>
      <rPr>
        <b/>
        <sz val="18"/>
        <color rgb="FFFFFFFF"/>
        <rFont val="Calibri"/>
      </rPr>
      <t xml:space="preserve">ULTIMATE AIM : COMMUNITY TRANSFORMATION </t>
    </r>
    <r>
      <rPr>
        <b/>
        <sz val="18"/>
        <color rgb="FF8DB4E2"/>
        <rFont val="Calibri"/>
      </rPr>
      <t>SLT Lead Omar Taha</t>
    </r>
  </si>
  <si>
    <t>Increase participation in structured spiritual education by 30% by September 2026.</t>
  </si>
  <si>
    <t>1. Modular spiritual education courses introduced beyond Jumu’ah and Ramadan.
2. Family-friendly timings implemented to widen access to learning programmes.</t>
  </si>
  <si>
    <t>Jan 2026: Pilot modular spiritual education sessions (including Ramadan programmes).  
Jun 2026: Regular modular courses running with family-friendly timings.  
Sept 2026: Programme fully embedded with sustained and increased attendance.</t>
  </si>
  <si>
    <t>Develop and deliver modular spiritual education programmes, building on existing classes and talks; introduce family-friendly timings and expand engagement with youth, children, and reverts.</t>
  </si>
  <si>
    <r>
      <rPr>
        <sz val="11"/>
        <color rgb="FF000000"/>
        <rFont val="Calibri"/>
        <scheme val="minor"/>
      </rPr>
      <t>1. Weekly tafsir started June for all members of family                                                                                                   2. Sisters fortnightly halaqah started.                                                                                                  3. Youth 16-25 circle for men started.                                                                                     4. Youth monthly q&amp;a started.                                                            5. Youth Rawa tales planned in June                                                       6. Fajr club felt covers brothers circle                                                 7. Guest khateebs Sh Ziyad and Sh Zubayr                                                               8. Completed Ramadan and Dhul Hijjah social media reminders                                                                                             9. In need of revert, youth sisters and 11-15 brothers                                 10. Possibly an Isha reminder (more appropriate for Imam)</t>
    </r>
    <r>
      <rPr>
        <b/>
        <sz val="11"/>
        <color rgb="FF000000"/>
        <rFont val="Calibri"/>
        <scheme val="minor"/>
      </rPr>
      <t xml:space="preserve"> </t>
    </r>
    <r>
      <rPr>
        <sz val="11"/>
        <color rgb="FF000000"/>
        <rFont val="Calibri"/>
        <scheme val="minor"/>
      </rPr>
      <t xml:space="preserve">                                                                                               </t>
    </r>
  </si>
  <si>
    <t>Deliver a consistent programme of small and large-scale talks for diverse demographics to increase engagement and spiritual understanding by September 2026.</t>
  </si>
  <si>
    <t>1. Monthly themed talks delivered for key demographics.
2. Guest speakers introduced for selected sessions.
3. Increased attendance and engagement across talk programmes.</t>
  </si>
  <si>
    <t>Jan 2026: Monthly talk structure established  
Jun 2026: Guest speakers and varied topics introduced  
Sept 2026: Programme embedded with strong attendance</t>
  </si>
  <si>
    <t>Plan and deliver regular talks across different demographics, including khutbahs, short reminders, and guest sessions, to increase engagement and accessibility.</t>
  </si>
  <si>
    <t>1. Plan for September Ilm Essentials 1 year programme                                                            2. Plan for Tajweed for ladies Sep and for Arabic ladies tajweed                                                                                                      3. Seeking a lead for Arabic and men's tajweed                                              4. Agreed regular marriage related talks                                                                      5. History talk 21st June                                                                         6. Planning riba talk with Ustadh Umer Sulaiman                                    7. Completed Ramadan and Hajj talks                                          8. Planning Mothers Quran group                                                         9. Aim Khutbah delivery workshop by Sep                                            10. Planning a sisters q&amp;a (either Omar or Imam)                                                              11. Planning hifdh programme (Imam)</t>
  </si>
  <si>
    <t>Increase student numbers whilst maintaining educational standards</t>
  </si>
  <si>
    <t>1. New leadership team settled into roles 2. Move to Ravenswood secured by June 2026</t>
  </si>
  <si>
    <t>1. End of March 2. End of June</t>
  </si>
  <si>
    <t>Ravenswood move complete!                                                Curriculum has been proposed, and being finalised. Omar to plan a meeting with teachers on this.                               Leadership team better place than last year, appears to have worked. Awaiting full report by next month.                                     Awaiting open day and review of numbers in coming month.</t>
  </si>
  <si>
    <t>Deliver quarterly spiritual retreats and Qur’an reflection circles to strengthen community connection and spiritual growth by August 2026.</t>
  </si>
  <si>
    <t>1. Retreat structure and programme designed (including Qur’an reflection focus).
2. Logistics in place (venue, childcare, sign-ups).
3. First retreat delivered and model refined for ongoing quarterly delivery.</t>
  </si>
  <si>
    <t>Jan 2026: Retreat format and programme agreed.  
Jun 2026: First retreat delivered with logistics in place.  
Aug 2026: Quarterly retreat model embedded.</t>
  </si>
  <si>
    <t>Plan and deliver quarterly retreats including Qur’an reflection sessions, ensuring accessibility through childcare and structured sign-up processes.</t>
  </si>
  <si>
    <t>To consider embedding into camp retreat, or considering a youth excurcusion with reminders. Not yet ready for full education retreat given my time committments - potentially one for an incoming Imam</t>
  </si>
  <si>
    <t>A system which allows individual community members to begin a tracked, AI driven,journey starting from where they are, built upon the resources available at the masjid. Includes training, courses and volunteering</t>
  </si>
  <si>
    <t>1. Get MosqueApp running
2. Develop and deploy framework for personal self-development</t>
  </si>
  <si>
    <t>1. Jan
2. Before Ramadhan</t>
  </si>
  <si>
    <t>Found possible suitable provider. had second round meetings with him. Next steps: asked him for a one pager explaining his product, a one pager for my Education Lead, detailing Islamic education authenticity, and then we will meet to finalise the financials and how that works, and how to embed the product via ai to our masjid, its services, volunteering etc. Decided to launch via our website and not wait until app is completed.</t>
  </si>
  <si>
    <t>Delayed</t>
  </si>
  <si>
    <t>Need Khalyfa guy to produce scholar endorsement and fine checking for educational content before we proceed any further</t>
  </si>
  <si>
    <t>MASTER KEY</t>
  </si>
  <si>
    <t>IS
VALID</t>
  </si>
  <si>
    <t>SMART Outcome</t>
  </si>
  <si>
    <t>Benefit</t>
  </si>
  <si>
    <t>Starting Point / Baseline</t>
  </si>
  <si>
    <t>Department</t>
  </si>
  <si>
    <t>Reported to OPEX</t>
  </si>
  <si>
    <t>Responsible Person</t>
  </si>
  <si>
    <t>Risk Level</t>
  </si>
  <si>
    <t>Risk if Not Achieved</t>
  </si>
  <si>
    <t>Target Date</t>
  </si>
  <si>
    <t>Specific Desired Outcome</t>
  </si>
  <si>
    <t>Milestone Count</t>
  </si>
  <si>
    <t>Milestone/s</t>
  </si>
  <si>
    <t>Milestone/s Date</t>
  </si>
  <si>
    <t>Actions</t>
  </si>
  <si>
    <t>Status</t>
  </si>
  <si>
    <t>Reason for Delay</t>
  </si>
  <si>
    <t>Complete %</t>
  </si>
  <si>
    <t>Notes</t>
  </si>
  <si>
    <t>FOCUS AREA LIST</t>
  </si>
  <si>
    <t>PROGRESS LIST</t>
  </si>
  <si>
    <t>COMPLETION LIST</t>
  </si>
  <si>
    <t>RISK</t>
  </si>
  <si>
    <t>IS VALID</t>
  </si>
  <si>
    <t>FS1</t>
  </si>
  <si>
    <t>Financial Stability</t>
  </si>
  <si>
    <t>YES</t>
  </si>
  <si>
    <t>Establish diversified, sustainable income streams</t>
  </si>
  <si>
    <t>Service provision, significant income stream to be invested in Waqf</t>
  </si>
  <si>
    <t>Donation-dependent operations; limited reserves; no diversified income operational yet. Soft launch of TFS complete</t>
  </si>
  <si>
    <t>Safa Holdings / Finance</t>
  </si>
  <si>
    <t>End of March End of June End of Sept</t>
  </si>
  <si>
    <t>Medium</t>
  </si>
  <si>
    <t>High</t>
  </si>
  <si>
    <t>FS2</t>
  </si>
  <si>
    <t>Service provision, recurring advertising revenue + partnerships</t>
  </si>
  <si>
    <t>Donation-dependent operations; limited reserves; no diversified income operational yet. Idea and website ready for Business Directory</t>
  </si>
  <si>
    <t>Raja</t>
  </si>
  <si>
    <t>Youth Succession Planning</t>
  </si>
  <si>
    <t>NO</t>
  </si>
  <si>
    <t>FS3</t>
  </si>
  <si>
    <t>Grow current Waqf capital by £60,000 by Sept 2026</t>
  </si>
  <si>
    <t>Perpetual income for AEC</t>
  </si>
  <si>
    <t>Donation-dependent operations; limited reserves; no diversified income operational yet. Curently contains £75k</t>
  </si>
  <si>
    <t>Finance</t>
  </si>
  <si>
    <t>Raja / Kamraan</t>
  </si>
  <si>
    <t>Low</t>
  </si>
  <si>
    <t>Wider Community Engagement</t>
  </si>
  <si>
    <t>FS4</t>
  </si>
  <si>
    <t>Grow Waqf capital to £200,000 by Sept  2026</t>
  </si>
  <si>
    <t>Step-change in waqf investment amount</t>
  </si>
  <si>
    <t>Donation-dependent operations; limited reserves; no diversified income operational yet. Curently contains £75k (+£60k Ramadhan iA)</t>
  </si>
  <si>
    <t>Exec</t>
  </si>
  <si>
    <t>Building Teams &amp; Leadership</t>
  </si>
  <si>
    <t>FS5</t>
  </si>
  <si>
    <t>Achieve net-positive operating balance by Sept 2026</t>
  </si>
  <si>
    <t>Operational transparency +  sustainability</t>
  </si>
  <si>
    <t>Donation-dependent operations; limited reserves; no diversified income operational yet</t>
  </si>
  <si>
    <t>Behzat / Raja / Kamraan</t>
  </si>
  <si>
    <t>Community Activities</t>
  </si>
  <si>
    <t>FS6</t>
  </si>
  <si>
    <t>Spiritual Focus</t>
  </si>
  <si>
    <t>FS7</t>
  </si>
  <si>
    <t>FS8</t>
  </si>
  <si>
    <t>FS9</t>
  </si>
  <si>
    <t>FS10</t>
  </si>
  <si>
    <t>FS11</t>
  </si>
  <si>
    <t>FS12</t>
  </si>
  <si>
    <t>FS13</t>
  </si>
  <si>
    <t>FS14</t>
  </si>
  <si>
    <t>FS15</t>
  </si>
  <si>
    <t>YS1</t>
  </si>
  <si>
    <t>Develop youth leadership</t>
  </si>
  <si>
    <t>Pipeline of young leaders, succession planning</t>
  </si>
  <si>
    <t>No formal youth leadership structure; involvement is ad‑hoc and reactive</t>
  </si>
  <si>
    <t>Youth</t>
  </si>
  <si>
    <t>Afsor</t>
  </si>
  <si>
    <t>YS2</t>
  </si>
  <si>
    <t>Increase youth volunteering team by 40%</t>
  </si>
  <si>
    <t>Higher engagement &amp; continuity</t>
  </si>
  <si>
    <t>Current team number: X</t>
  </si>
  <si>
    <t>YS3</t>
  </si>
  <si>
    <t>Targeted talks to attract youth</t>
  </si>
  <si>
    <t>Higher engagement &amp; building youth connection to masjid</t>
  </si>
  <si>
    <t>Ad-hoc talks currently</t>
  </si>
  <si>
    <t>YS4</t>
  </si>
  <si>
    <t>Bi-monthly events to attract youth</t>
  </si>
  <si>
    <t>Ad-hoc events running currently</t>
  </si>
  <si>
    <t>YS5</t>
  </si>
  <si>
    <t>Leadership development</t>
  </si>
  <si>
    <t>Safer, more competent teams</t>
  </si>
  <si>
    <t>OPEX</t>
  </si>
  <si>
    <t>Amer</t>
  </si>
  <si>
    <t>YS6</t>
  </si>
  <si>
    <t>Scouts provision low</t>
  </si>
  <si>
    <t>Scouts</t>
  </si>
  <si>
    <t>Khaleeq</t>
  </si>
  <si>
    <t>YS7</t>
  </si>
  <si>
    <t>YS8</t>
  </si>
  <si>
    <t>YS9</t>
  </si>
  <si>
    <t>YS10</t>
  </si>
  <si>
    <t>YS11</t>
  </si>
  <si>
    <t>YS12</t>
  </si>
  <si>
    <t>YS13</t>
  </si>
  <si>
    <t>YS14</t>
  </si>
  <si>
    <t>YS15</t>
  </si>
  <si>
    <t>WC1</t>
  </si>
  <si>
    <t>Build partnerships</t>
  </si>
  <si>
    <t>Shared impact &amp; credibility, improved societal integration</t>
  </si>
  <si>
    <t>3–4 informal partnerships; sporadic open days; no structured annual calendar</t>
  </si>
  <si>
    <t>Community / Politics</t>
  </si>
  <si>
    <t>Matiur</t>
  </si>
  <si>
    <t>WC2</t>
  </si>
  <si>
    <t>Community events</t>
  </si>
  <si>
    <t>Improved public perception and relationships, increased local impact</t>
  </si>
  <si>
    <t>Avais</t>
  </si>
  <si>
    <t>WC3</t>
  </si>
  <si>
    <t>Transparency</t>
  </si>
  <si>
    <t>Evidence for funders &amp; partners</t>
  </si>
  <si>
    <t>WC4</t>
  </si>
  <si>
    <t>Non-Muslims understand Islam</t>
  </si>
  <si>
    <t>Spreading the Deen and benefitting local community. Islamic stereotypes broken</t>
  </si>
  <si>
    <t>Recruited da'ee group; completing training. Dawah stall equipment and clothing being sourced, branding complete. Awaiting stall permission from Bromley Council</t>
  </si>
  <si>
    <t>Religious Affairs</t>
  </si>
  <si>
    <t>Ahmed</t>
  </si>
  <si>
    <t>WC5</t>
  </si>
  <si>
    <t>Engage and connect with local schools and scouts groups</t>
  </si>
  <si>
    <t>Active daw'ah and increasing Islamic knowledge (including breaking stereotypes) of young local people through immersive experiences</t>
  </si>
  <si>
    <t>School and scouts visits service already active, through school/scout group contact</t>
  </si>
  <si>
    <t>Education</t>
  </si>
  <si>
    <t>Sobia</t>
  </si>
  <si>
    <t>WC6</t>
  </si>
  <si>
    <t>Deepen relationships and benefit from connections to other faiths</t>
  </si>
  <si>
    <t>Learn from them, teach them about Islam, break stereotypes, aid geo/political dialogues/situations</t>
  </si>
  <si>
    <t>Already esablished long term Interfaith relationships</t>
  </si>
  <si>
    <t>Sofi</t>
  </si>
  <si>
    <t>WC7</t>
  </si>
  <si>
    <t>Connect with, market, and advertise well with wider community</t>
  </si>
  <si>
    <t>Improved community cohesion</t>
  </si>
  <si>
    <t>Have an existing but out of date and non searchable database. A sharepoint version now exists in SharePoint</t>
  </si>
  <si>
    <t>WC8</t>
  </si>
  <si>
    <t>WC9</t>
  </si>
  <si>
    <t>WC10</t>
  </si>
  <si>
    <t>WC11</t>
  </si>
  <si>
    <t>WC12</t>
  </si>
  <si>
    <t>WC13</t>
  </si>
  <si>
    <t>WC14</t>
  </si>
  <si>
    <t>WC15</t>
  </si>
  <si>
    <t>BT1</t>
  </si>
  <si>
    <t>Competence &amp; compliance</t>
  </si>
  <si>
    <t>Risk reduction; improved leadership</t>
  </si>
  <si>
    <t>Partial ad-hoc training coverage</t>
  </si>
  <si>
    <t>BT2</t>
  </si>
  <si>
    <t>Onboarding excellence</t>
  </si>
  <si>
    <t>Faster integration; safety</t>
  </si>
  <si>
    <t>Onboarding is informal</t>
  </si>
  <si>
    <t>BT3</t>
  </si>
  <si>
    <t>Volunteer attraction and  retention</t>
  </si>
  <si>
    <t>Staff retention &amp; morale</t>
  </si>
  <si>
    <t>Volunteers praised by Leaders, Volunteer yearly event</t>
  </si>
  <si>
    <t>BT4</t>
  </si>
  <si>
    <t>Improved performance in key areas</t>
  </si>
  <si>
    <t>Make important functions work better, prevent burnout</t>
  </si>
  <si>
    <t>Digital, Marketing and Outreach teams limited human resources</t>
  </si>
  <si>
    <t>BT5</t>
  </si>
  <si>
    <t>BT6</t>
  </si>
  <si>
    <t>BT7</t>
  </si>
  <si>
    <t>BT8</t>
  </si>
  <si>
    <t>BT9</t>
  </si>
  <si>
    <t>BT10</t>
  </si>
  <si>
    <t>BT11</t>
  </si>
  <si>
    <t>BT12</t>
  </si>
  <si>
    <t>BT13</t>
  </si>
  <si>
    <t>BT14</t>
  </si>
  <si>
    <t>BT15</t>
  </si>
  <si>
    <t>CA1</t>
  </si>
  <si>
    <t>Vibrant Events Calendar</t>
  </si>
  <si>
    <t>Cohesion &amp; visibility</t>
  </si>
  <si>
    <t>Approx. 6 activities per year; decentralised planning; limited follow-up/feedback loops</t>
  </si>
  <si>
    <t>Events</t>
  </si>
  <si>
    <t>CA2</t>
  </si>
  <si>
    <t>Attendance growth</t>
  </si>
  <si>
    <t>Broader engagement</t>
  </si>
  <si>
    <t>Marketing</t>
  </si>
  <si>
    <t>Ameera</t>
  </si>
  <si>
    <t>CA3</t>
  </si>
  <si>
    <t>Events well advertised and attended</t>
  </si>
  <si>
    <t>Increased event attendance,staff booking system</t>
  </si>
  <si>
    <t>No calendar currently available</t>
  </si>
  <si>
    <t>Tech</t>
  </si>
  <si>
    <t>CA4</t>
  </si>
  <si>
    <t>CA5</t>
  </si>
  <si>
    <t>CA6</t>
  </si>
  <si>
    <t>CA7</t>
  </si>
  <si>
    <t>CA8</t>
  </si>
  <si>
    <t>CA9</t>
  </si>
  <si>
    <t>CA10</t>
  </si>
  <si>
    <t>CA11</t>
  </si>
  <si>
    <t>CA12</t>
  </si>
  <si>
    <t>CA13</t>
  </si>
  <si>
    <t>CA14</t>
  </si>
  <si>
    <t>CA15</t>
  </si>
  <si>
    <t>SF1</t>
  </si>
  <si>
    <t>Learning &amp; practice</t>
  </si>
  <si>
    <t>Deeper community spirituality</t>
  </si>
  <si>
    <t>Regular Jumu’ah/Ramadan programmes; limited modular learning beyond madrassa/occasional talks</t>
  </si>
  <si>
    <t>Islamic Affairs</t>
  </si>
  <si>
    <t>Omar</t>
  </si>
  <si>
    <t>SF2</t>
  </si>
  <si>
    <t>Regular themed lectures</t>
  </si>
  <si>
    <t>Accessible Islamic education</t>
  </si>
  <si>
    <t>Limited spiritual development to date</t>
  </si>
  <si>
    <t>SF3</t>
  </si>
  <si>
    <t>Community retreats</t>
  </si>
  <si>
    <t>Renewal &amp; connection</t>
  </si>
  <si>
    <t>SF4</t>
  </si>
  <si>
    <t>Al-Qalam Madrassa expansion</t>
  </si>
  <si>
    <t>Education for young people in our community, development fo youth leaders</t>
  </si>
  <si>
    <t>Already have an established Madrassa</t>
  </si>
  <si>
    <t>SF5</t>
  </si>
  <si>
    <t>Limited talks to date</t>
  </si>
  <si>
    <t>SF7</t>
  </si>
  <si>
    <t>Spiritual self- development</t>
  </si>
  <si>
    <t>Deeper individual spirituality</t>
  </si>
  <si>
    <t>Not formally developed</t>
  </si>
  <si>
    <t>SF8</t>
  </si>
  <si>
    <t>SF9</t>
  </si>
  <si>
    <t>SF10</t>
  </si>
  <si>
    <t>SF11</t>
  </si>
  <si>
    <t>SF12</t>
  </si>
  <si>
    <t>SF13</t>
  </si>
  <si>
    <t>SF14</t>
  </si>
  <si>
    <t>SF15</t>
  </si>
  <si>
    <t>Stream</t>
  </si>
  <si>
    <t>Review Date</t>
  </si>
  <si>
    <t>Reviewed By</t>
  </si>
  <si>
    <t>Key Discussion Points / Decisions</t>
  </si>
  <si>
    <t>Actions Agreed</t>
  </si>
  <si>
    <t>Next Steps / Deadlines</t>
  </si>
  <si>
    <t>Person Responsible</t>
  </si>
  <si>
    <t>Date Closed</t>
  </si>
  <si>
    <t>OPEX Sign-Off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</si>
</sst>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40">
    <font>
      <sz val="11"/>
      <color theme="1"/>
      <name val="Calibri"/>
      <family val="2"/>
      <scheme val="minor"/>
    </font>
    <font>
      <b/>
      <sz val="14"/>
      <name val="Calibri"/>
      <family val="2"/>
    </font>
    <font>
      <b/>
      <sz val="11"/>
      <name val="Calibri"/>
      <family val="2"/>
    </font>
    <font>
      <b/>
      <sz val="11"/>
      <color theme="1"/>
      <name val="Calibri"/>
      <family val="2"/>
      <scheme val="minor"/>
    </font>
    <font>
      <b/>
      <sz val="14"/>
      <color rgb="FFFF0000"/>
      <name val="Calibri"/>
      <family val="2"/>
      <scheme val="minor"/>
    </font>
    <font>
      <b/>
      <sz val="18"/>
      <color theme="0"/>
      <name val="Calibri"/>
      <family val="2"/>
      <scheme val="minor"/>
    </font>
    <font>
      <b/>
      <sz val="18"/>
      <color rgb="FFFF0000"/>
      <name val="Calibri"/>
      <family val="2"/>
      <scheme val="minor"/>
    </font>
    <font>
      <sz val="14"/>
      <color theme="1"/>
      <name val="Calibri"/>
      <family val="2"/>
      <scheme val="minor"/>
    </font>
    <font>
      <b/>
      <sz val="20"/>
      <color theme="0"/>
      <name val="Calibri"/>
      <family val="2"/>
      <scheme val="minor"/>
    </font>
    <font>
      <b/>
      <sz val="20"/>
      <color rgb="FFFF0000"/>
      <name val="Calibri"/>
      <family val="2"/>
      <scheme val="minor"/>
    </font>
    <font>
      <b/>
      <sz val="11"/>
      <color rgb="FFFF0000"/>
      <name val="Calibri"/>
      <family val="2"/>
      <scheme val="minor"/>
    </font>
    <font>
      <sz val="8"/>
      <name val="Calibri"/>
      <family val="2"/>
      <scheme val="minor"/>
    </font>
    <font>
      <b/>
      <sz val="12"/>
      <name val="Calibri (Body)"/>
    </font>
    <font>
      <b/>
      <sz val="12"/>
      <name val="Calibri"/>
      <family val="2"/>
    </font>
    <font>
      <b/>
      <sz val="11"/>
      <color theme="0"/>
      <name val="Calibri"/>
      <family val="2"/>
      <scheme val="minor"/>
    </font>
    <font>
      <b/>
      <sz val="20"/>
      <color theme="1"/>
      <name val="Calibri"/>
      <family val="2"/>
      <scheme val="minor"/>
    </font>
    <font>
      <b/>
      <sz val="16"/>
      <color theme="1"/>
      <name val="Calibri"/>
      <family val="2"/>
      <scheme val="minor"/>
    </font>
    <font>
      <b/>
      <sz val="14"/>
      <color theme="0"/>
      <name val="Calibri"/>
      <family val="2"/>
      <scheme val="minor"/>
    </font>
    <font>
      <b/>
      <sz val="14"/>
      <color theme="3" tint="0.59999389629810485"/>
      <name val="Calibri"/>
      <family val="2"/>
      <scheme val="minor"/>
    </font>
    <font>
      <b/>
      <sz val="22"/>
      <name val="Calibri"/>
      <family val="2"/>
    </font>
    <font>
      <sz val="28"/>
      <color theme="1"/>
      <name val="Calibri"/>
      <family val="2"/>
      <scheme val="minor"/>
    </font>
    <font>
      <b/>
      <sz val="36"/>
      <name val="Calibri"/>
      <family val="2"/>
    </font>
    <font>
      <sz val="36"/>
      <color theme="1"/>
      <name val="Calibri"/>
      <family val="2"/>
      <scheme val="minor"/>
    </font>
    <font>
      <b/>
      <sz val="28"/>
      <color theme="3" tint="-0.249977111117893"/>
      <name val="Calibri"/>
      <family val="2"/>
      <scheme val="minor"/>
    </font>
    <font>
      <sz val="28"/>
      <color theme="3" tint="-0.249977111117893"/>
      <name val="Calibri"/>
      <family val="2"/>
      <scheme val="minor"/>
    </font>
    <font>
      <b/>
      <sz val="22"/>
      <color theme="1"/>
      <name val="Calibri"/>
      <family val="2"/>
      <scheme val="minor"/>
    </font>
    <font>
      <u/>
      <sz val="11"/>
      <color theme="10"/>
      <name val="Calibri"/>
      <family val="2"/>
      <scheme val="minor"/>
    </font>
    <font>
      <b/>
      <sz val="20"/>
      <color rgb="FF000000"/>
      <name val="Calibri"/>
      <family val="2"/>
      <scheme val="minor"/>
    </font>
    <font>
      <sz val="11"/>
      <color rgb="FF242424"/>
      <name val="Aptos Narrow"/>
      <charset val="1"/>
    </font>
    <font>
      <b/>
      <sz val="14"/>
      <color rgb="FF000000"/>
      <name val="Calibri"/>
      <family val="2"/>
      <scheme val="minor"/>
    </font>
    <font>
      <u/>
      <sz val="16"/>
      <color rgb="FFFF0000"/>
      <name val="Calibri"/>
      <family val="2"/>
      <scheme val="minor"/>
    </font>
    <font>
      <sz val="11"/>
      <color rgb="FF000000"/>
      <name val="Calibri"/>
      <charset val="1"/>
    </font>
    <font>
      <b/>
      <sz val="36"/>
      <color theme="1"/>
      <name val="Calibri"/>
      <family val="2"/>
      <scheme val="minor"/>
    </font>
    <font>
      <b/>
      <sz val="11"/>
      <color rgb="FF000000"/>
      <name val="Calibri"/>
      <family val="2"/>
    </font>
    <font>
      <b/>
      <sz val="18"/>
      <color rgb="FFFFFFFF"/>
      <name val="Calibri"/>
    </font>
    <font>
      <b/>
      <sz val="18"/>
      <color rgb="FF8DB4E2"/>
      <name val="Calibri"/>
    </font>
    <font>
      <b/>
      <sz val="18"/>
      <color theme="0"/>
      <name val="Calibri"/>
    </font>
    <font>
      <sz val="11"/>
      <color rgb="FF000000"/>
      <name val="Calibri"/>
      <scheme val="minor"/>
    </font>
    <font>
      <b/>
      <sz val="11"/>
      <color rgb="FF000000"/>
      <name val="Calibri"/>
      <scheme val="minor"/>
    </font>
    <font>
      <sz val="11"/>
      <color rgb="FF000000"/>
      <name val="Calibri"/>
      <family val="2"/>
      <scheme val="minor"/>
    </font>
  </fonts>
  <fills count="19">
    <fill>
      <patternFill patternType="none"/>
    </fill>
    <fill>
      <patternFill patternType="gray125"/>
    </fill>
    <fill>
      <patternFill patternType="solid">
        <fgColor rgb="FFE0EFEF"/>
      </patternFill>
    </fill>
    <fill>
      <patternFill patternType="solid">
        <fgColor rgb="FFFFC0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rgb="FFFF0000"/>
        <bgColor indexed="64"/>
      </patternFill>
    </fill>
    <fill>
      <patternFill patternType="solid">
        <fgColor theme="6" tint="-0.249977111117893"/>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8"/>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
      <patternFill patternType="solid">
        <fgColor rgb="FFFFFFFF"/>
        <bgColor indexed="64"/>
      </patternFill>
    </fill>
  </fills>
  <borders count="18">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theme="2" tint="-0.249977111117893"/>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s>
  <cellStyleXfs count="2">
    <xf numFmtId="0" fontId="0" fillId="0" borderId="0"/>
    <xf numFmtId="0" fontId="26" fillId="0" borderId="0" applyNumberFormat="0" applyFill="0" applyBorder="0" applyAlignment="0" applyProtection="0"/>
  </cellStyleXfs>
  <cellXfs count="172">
    <xf numFmtId="0" fontId="0" fillId="0" borderId="0" xfId="0"/>
    <xf numFmtId="0" fontId="1" fillId="0" borderId="0" xfId="0" applyFont="1"/>
    <xf numFmtId="0" fontId="2" fillId="0" borderId="0" xfId="0" applyFont="1"/>
    <xf numFmtId="0" fontId="0" fillId="0" borderId="0" xfId="0" applyAlignment="1">
      <alignment vertical="center"/>
    </xf>
    <xf numFmtId="0" fontId="0" fillId="0" borderId="0" xfId="0" applyAlignment="1">
      <alignment horizontal="center" vertical="center"/>
    </xf>
    <xf numFmtId="0" fontId="4" fillId="0" borderId="0" xfId="0" applyFont="1"/>
    <xf numFmtId="0" fontId="0" fillId="3" borderId="0" xfId="0" applyFill="1"/>
    <xf numFmtId="0" fontId="0" fillId="4" borderId="0" xfId="0" applyFill="1"/>
    <xf numFmtId="0" fontId="0" fillId="0" borderId="1" xfId="0" applyBorder="1"/>
    <xf numFmtId="0" fontId="10" fillId="0" borderId="0" xfId="0" applyFont="1"/>
    <xf numFmtId="0" fontId="2" fillId="9"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9" borderId="1" xfId="0" applyFont="1" applyFill="1" applyBorder="1" applyAlignment="1">
      <alignment horizontal="center"/>
    </xf>
    <xf numFmtId="0" fontId="0" fillId="7" borderId="0" xfId="0" applyFill="1"/>
    <xf numFmtId="0" fontId="2" fillId="2" borderId="3" xfId="0" applyFont="1" applyFill="1" applyBorder="1" applyAlignment="1">
      <alignment horizontal="center" vertical="center" wrapText="1"/>
    </xf>
    <xf numFmtId="0" fontId="0" fillId="0" borderId="4" xfId="0" applyBorder="1"/>
    <xf numFmtId="0" fontId="0" fillId="0" borderId="5" xfId="0" applyBorder="1"/>
    <xf numFmtId="164" fontId="0" fillId="0" borderId="0" xfId="0" applyNumberFormat="1" applyAlignment="1">
      <alignment horizontal="center" vertical="center"/>
    </xf>
    <xf numFmtId="0" fontId="12" fillId="2" borderId="0" xfId="0" applyFont="1" applyFill="1" applyAlignment="1">
      <alignment horizontal="center" vertical="center" wrapText="1"/>
    </xf>
    <xf numFmtId="164" fontId="12" fillId="2" borderId="0" xfId="0" applyNumberFormat="1" applyFont="1" applyFill="1" applyAlignment="1">
      <alignment horizontal="center" vertical="center" wrapText="1"/>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0" xfId="0" applyFont="1" applyFill="1" applyAlignment="1">
      <alignment horizontal="center" vertical="center" wrapText="1"/>
    </xf>
    <xf numFmtId="0" fontId="3" fillId="5" borderId="4" xfId="0" applyFont="1" applyFill="1" applyBorder="1"/>
    <xf numFmtId="0" fontId="3" fillId="0" borderId="4" xfId="0" applyFont="1" applyBorder="1"/>
    <xf numFmtId="0" fontId="3" fillId="0" borderId="5" xfId="0" applyFont="1" applyBorder="1"/>
    <xf numFmtId="0" fontId="3" fillId="4" borderId="4" xfId="0" applyFont="1" applyFill="1" applyBorder="1"/>
    <xf numFmtId="0" fontId="14" fillId="3" borderId="4" xfId="0" applyFont="1" applyFill="1" applyBorder="1"/>
    <xf numFmtId="0" fontId="14" fillId="4" borderId="4" xfId="0" applyFont="1" applyFill="1" applyBorder="1"/>
    <xf numFmtId="0" fontId="14" fillId="11" borderId="4" xfId="0" applyFont="1" applyFill="1" applyBorder="1"/>
    <xf numFmtId="0" fontId="14" fillId="7" borderId="4" xfId="0" applyFont="1" applyFill="1" applyBorder="1"/>
    <xf numFmtId="0" fontId="15" fillId="14" borderId="11" xfId="0" applyFont="1" applyFill="1" applyBorder="1" applyAlignment="1">
      <alignment horizontal="center" vertical="center"/>
    </xf>
    <xf numFmtId="0" fontId="15" fillId="14" borderId="12" xfId="0" applyFont="1" applyFill="1" applyBorder="1" applyAlignment="1">
      <alignment horizontal="center" vertical="center"/>
    </xf>
    <xf numFmtId="1" fontId="15" fillId="14" borderId="12" xfId="0" applyNumberFormat="1" applyFont="1" applyFill="1" applyBorder="1" applyAlignment="1">
      <alignment horizontal="center" vertical="center"/>
    </xf>
    <xf numFmtId="0" fontId="2" fillId="2" borderId="15" xfId="0" applyFont="1" applyFill="1" applyBorder="1" applyAlignment="1">
      <alignment horizontal="center" vertical="center" wrapText="1"/>
    </xf>
    <xf numFmtId="0" fontId="14" fillId="5" borderId="3" xfId="0" applyFont="1" applyFill="1" applyBorder="1"/>
    <xf numFmtId="0" fontId="14" fillId="8" borderId="4" xfId="0" applyFont="1" applyFill="1" applyBorder="1"/>
    <xf numFmtId="9" fontId="0" fillId="0" borderId="0" xfId="0" applyNumberFormat="1" applyAlignment="1">
      <alignment horizontal="center" vertical="center"/>
    </xf>
    <xf numFmtId="9" fontId="3" fillId="0" borderId="4" xfId="0" applyNumberFormat="1" applyFont="1" applyBorder="1" applyAlignment="1">
      <alignment horizontal="center" vertical="center"/>
    </xf>
    <xf numFmtId="9" fontId="3" fillId="0" borderId="5" xfId="0" applyNumberFormat="1" applyFont="1" applyBorder="1" applyAlignment="1">
      <alignment horizontal="center" vertical="center"/>
    </xf>
    <xf numFmtId="0" fontId="3" fillId="15" borderId="4" xfId="0" applyFont="1" applyFill="1" applyBorder="1"/>
    <xf numFmtId="0" fontId="3" fillId="16" borderId="4" xfId="0" applyFont="1" applyFill="1" applyBorder="1"/>
    <xf numFmtId="0" fontId="3" fillId="4" borderId="4" xfId="0" applyFont="1" applyFill="1" applyBorder="1" applyAlignment="1">
      <alignment horizontal="center"/>
    </xf>
    <xf numFmtId="0" fontId="3" fillId="7" borderId="4" xfId="0" applyFont="1" applyFill="1" applyBorder="1" applyAlignment="1">
      <alignment horizontal="center"/>
    </xf>
    <xf numFmtId="0" fontId="3" fillId="3" borderId="4" xfId="0" applyFont="1" applyFill="1" applyBorder="1" applyAlignment="1">
      <alignment horizontal="center"/>
    </xf>
    <xf numFmtId="0" fontId="3" fillId="0" borderId="4" xfId="0" applyFont="1" applyBorder="1" applyAlignment="1">
      <alignment horizontal="center"/>
    </xf>
    <xf numFmtId="9" fontId="13" fillId="2" borderId="1" xfId="0" applyNumberFormat="1" applyFont="1" applyFill="1" applyBorder="1" applyAlignment="1">
      <alignment horizontal="center" vertical="center" wrapText="1"/>
    </xf>
    <xf numFmtId="14" fontId="0" fillId="0" borderId="0" xfId="0" applyNumberFormat="1"/>
    <xf numFmtId="14" fontId="13" fillId="2" borderId="1" xfId="0" applyNumberFormat="1" applyFont="1" applyFill="1" applyBorder="1" applyAlignment="1">
      <alignment horizontal="center" vertical="center" wrapText="1"/>
    </xf>
    <xf numFmtId="0" fontId="0" fillId="13" borderId="0" xfId="0" applyFill="1"/>
    <xf numFmtId="14" fontId="0" fillId="13" borderId="0" xfId="0" applyNumberFormat="1" applyFill="1"/>
    <xf numFmtId="0" fontId="0" fillId="13" borderId="0" xfId="0" applyFill="1" applyAlignment="1">
      <alignment horizontal="center" vertical="center"/>
    </xf>
    <xf numFmtId="9" fontId="0" fillId="13" borderId="0" xfId="0" applyNumberFormat="1" applyFill="1" applyAlignment="1">
      <alignment horizontal="center" vertical="center"/>
    </xf>
    <xf numFmtId="0" fontId="0" fillId="17" borderId="0" xfId="0" applyFill="1"/>
    <xf numFmtId="0" fontId="0" fillId="6" borderId="0" xfId="0" applyFill="1"/>
    <xf numFmtId="0" fontId="0" fillId="8" borderId="0" xfId="0" applyFill="1"/>
    <xf numFmtId="0" fontId="0" fillId="13" borderId="0" xfId="0" applyFill="1" applyAlignment="1">
      <alignment horizontal="center"/>
    </xf>
    <xf numFmtId="164" fontId="0" fillId="0" borderId="0" xfId="0" applyNumberFormat="1"/>
    <xf numFmtId="0" fontId="0" fillId="13" borderId="1" xfId="0" applyFill="1" applyBorder="1" applyAlignment="1">
      <alignment horizontal="center" vertical="center" wrapText="1"/>
    </xf>
    <xf numFmtId="164" fontId="0" fillId="13" borderId="1" xfId="0" applyNumberFormat="1" applyFill="1" applyBorder="1" applyAlignment="1">
      <alignment horizontal="center" vertical="center" wrapText="1"/>
    </xf>
    <xf numFmtId="0" fontId="5" fillId="5" borderId="0" xfId="0" applyFont="1" applyFill="1"/>
    <xf numFmtId="0" fontId="0" fillId="5" borderId="0" xfId="0" applyFill="1" applyAlignment="1">
      <alignment horizontal="center" vertical="center"/>
    </xf>
    <xf numFmtId="0" fontId="0" fillId="5" borderId="0" xfId="0" applyFill="1"/>
    <xf numFmtId="164" fontId="0" fillId="5" borderId="0" xfId="0" applyNumberFormat="1" applyFill="1"/>
    <xf numFmtId="0" fontId="7" fillId="0" borderId="0" xfId="0" applyFont="1"/>
    <xf numFmtId="0" fontId="0" fillId="0" borderId="0" xfId="0" applyProtection="1">
      <protection locked="0"/>
    </xf>
    <xf numFmtId="0" fontId="0" fillId="0" borderId="1" xfId="0" applyBorder="1" applyAlignment="1" applyProtection="1">
      <alignment horizontal="center" vertical="center" wrapText="1"/>
      <protection locked="0"/>
    </xf>
    <xf numFmtId="1" fontId="0" fillId="0" borderId="1" xfId="0" applyNumberFormat="1"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17" fontId="0" fillId="0" borderId="1" xfId="0" applyNumberFormat="1" applyBorder="1" applyAlignment="1" applyProtection="1">
      <alignment horizontal="left" vertical="center" wrapText="1"/>
      <protection locked="0"/>
    </xf>
    <xf numFmtId="9" fontId="0" fillId="0" borderId="1" xfId="0" applyNumberFormat="1" applyBorder="1" applyAlignment="1" applyProtection="1">
      <alignment horizontal="center" vertical="center" wrapText="1"/>
      <protection locked="0"/>
    </xf>
    <xf numFmtId="164" fontId="0" fillId="0" borderId="1" xfId="0" applyNumberFormat="1" applyBorder="1" applyAlignment="1" applyProtection="1">
      <alignment horizontal="center" vertical="center" wrapText="1"/>
      <protection locked="0"/>
    </xf>
    <xf numFmtId="0" fontId="0" fillId="0" borderId="0" xfId="0" applyAlignment="1" applyProtection="1">
      <alignment horizontal="center" vertical="center"/>
      <protection locked="0"/>
    </xf>
    <xf numFmtId="164" fontId="0" fillId="0" borderId="0" xfId="0" applyNumberFormat="1" applyProtection="1">
      <protection locked="0"/>
    </xf>
    <xf numFmtId="1" fontId="0" fillId="0" borderId="0" xfId="0" applyNumberFormat="1" applyProtection="1">
      <protection locked="0"/>
    </xf>
    <xf numFmtId="0" fontId="0" fillId="0" borderId="0" xfId="0" applyAlignment="1" applyProtection="1">
      <alignment horizontal="center"/>
      <protection locked="0"/>
    </xf>
    <xf numFmtId="9" fontId="0" fillId="0" borderId="0" xfId="0" applyNumberFormat="1" applyProtection="1">
      <protection locked="0"/>
    </xf>
    <xf numFmtId="0" fontId="5" fillId="3" borderId="0" xfId="0" applyFont="1" applyFill="1"/>
    <xf numFmtId="164" fontId="5" fillId="3" borderId="0" xfId="0" applyNumberFormat="1" applyFont="1" applyFill="1"/>
    <xf numFmtId="0" fontId="5" fillId="4" borderId="0" xfId="0" applyFont="1" applyFill="1"/>
    <xf numFmtId="164" fontId="5" fillId="4" borderId="0" xfId="0" applyNumberFormat="1" applyFont="1" applyFill="1"/>
    <xf numFmtId="0" fontId="8" fillId="6" borderId="0" xfId="0" applyFont="1" applyFill="1"/>
    <xf numFmtId="0" fontId="5" fillId="6" borderId="0" xfId="0" applyFont="1" applyFill="1"/>
    <xf numFmtId="164" fontId="5" fillId="6" borderId="0" xfId="0" applyNumberFormat="1" applyFont="1" applyFill="1"/>
    <xf numFmtId="17" fontId="0" fillId="0" borderId="1" xfId="0" applyNumberFormat="1" applyBorder="1" applyAlignment="1" applyProtection="1">
      <alignment vertical="center" wrapText="1"/>
      <protection locked="0"/>
    </xf>
    <xf numFmtId="0" fontId="0" fillId="0" borderId="1" xfId="0" applyBorder="1" applyAlignment="1" applyProtection="1">
      <alignment vertical="center" wrapText="1"/>
      <protection locked="0"/>
    </xf>
    <xf numFmtId="0" fontId="17" fillId="7" borderId="0" xfId="0" applyFont="1" applyFill="1" applyAlignment="1">
      <alignment vertical="center"/>
    </xf>
    <xf numFmtId="0" fontId="5" fillId="7" borderId="0" xfId="0" applyFont="1" applyFill="1"/>
    <xf numFmtId="164" fontId="5" fillId="7" borderId="0" xfId="0" applyNumberFormat="1" applyFont="1" applyFill="1"/>
    <xf numFmtId="0" fontId="20" fillId="0" borderId="0" xfId="0" applyFont="1"/>
    <xf numFmtId="0" fontId="21" fillId="0" borderId="0" xfId="0" applyFont="1" applyAlignment="1">
      <alignment vertical="center"/>
    </xf>
    <xf numFmtId="0" fontId="22" fillId="0" borderId="0" xfId="0" applyFont="1" applyAlignment="1">
      <alignment horizontal="center" vertical="center"/>
    </xf>
    <xf numFmtId="0" fontId="22" fillId="0" borderId="0" xfId="0" applyFont="1"/>
    <xf numFmtId="0" fontId="23" fillId="0" borderId="0" xfId="0" applyFont="1" applyAlignment="1">
      <alignment vertical="center"/>
    </xf>
    <xf numFmtId="0" fontId="24" fillId="0" borderId="0" xfId="0" applyFont="1" applyAlignment="1">
      <alignment horizontal="center" vertical="center"/>
    </xf>
    <xf numFmtId="0" fontId="19" fillId="2" borderId="6"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25" fillId="9" borderId="7"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25" fillId="0" borderId="2" xfId="0" applyFont="1" applyBorder="1" applyAlignment="1">
      <alignment horizontal="center" vertical="center"/>
    </xf>
    <xf numFmtId="1" fontId="25" fillId="0" borderId="2" xfId="0" applyNumberFormat="1" applyFont="1" applyBorder="1" applyAlignment="1">
      <alignment horizontal="center" vertical="center"/>
    </xf>
    <xf numFmtId="9" fontId="25" fillId="0" borderId="10" xfId="0" applyNumberFormat="1" applyFont="1" applyBorder="1" applyAlignment="1">
      <alignment horizontal="center" vertical="center"/>
    </xf>
    <xf numFmtId="0" fontId="0" fillId="0" borderId="1" xfId="0" applyBorder="1" applyAlignment="1" applyProtection="1">
      <alignment horizontal="left" wrapText="1"/>
      <protection locked="0"/>
    </xf>
    <xf numFmtId="0" fontId="0" fillId="0" borderId="1" xfId="0" applyBorder="1" applyAlignment="1" applyProtection="1">
      <alignment horizontal="center" wrapText="1"/>
      <protection locked="0"/>
    </xf>
    <xf numFmtId="9" fontId="0" fillId="0" borderId="1" xfId="0" applyNumberFormat="1" applyBorder="1" applyAlignment="1" applyProtection="1">
      <alignment wrapText="1"/>
      <protection locked="0"/>
    </xf>
    <xf numFmtId="0" fontId="0" fillId="0" borderId="0" xfId="0" applyAlignment="1">
      <alignment wrapText="1"/>
    </xf>
    <xf numFmtId="0" fontId="0" fillId="0" borderId="0" xfId="0" applyAlignment="1">
      <alignment horizontal="center" vertical="center" wrapText="1"/>
    </xf>
    <xf numFmtId="164" fontId="0" fillId="0" borderId="0" xfId="0" applyNumberFormat="1" applyAlignment="1">
      <alignment wrapText="1"/>
    </xf>
    <xf numFmtId="164" fontId="0" fillId="0" borderId="0" xfId="0" applyNumberFormat="1" applyAlignment="1" applyProtection="1">
      <alignment wrapText="1"/>
      <protection locked="0"/>
    </xf>
    <xf numFmtId="1" fontId="0" fillId="0" borderId="0" xfId="0" applyNumberFormat="1" applyAlignment="1" applyProtection="1">
      <alignment wrapText="1"/>
      <protection locked="0"/>
    </xf>
    <xf numFmtId="0" fontId="0" fillId="0" borderId="0" xfId="0" applyAlignment="1" applyProtection="1">
      <alignment horizontal="center" vertical="center" wrapText="1"/>
      <protection locked="0"/>
    </xf>
    <xf numFmtId="0" fontId="0" fillId="0" borderId="0" xfId="0" applyAlignment="1" applyProtection="1">
      <alignment wrapText="1"/>
      <protection locked="0"/>
    </xf>
    <xf numFmtId="0" fontId="0" fillId="0" borderId="0" xfId="0" applyAlignment="1" applyProtection="1">
      <alignment horizontal="center" wrapText="1"/>
      <protection locked="0"/>
    </xf>
    <xf numFmtId="9" fontId="0" fillId="0" borderId="0" xfId="0" applyNumberFormat="1" applyAlignment="1" applyProtection="1">
      <alignment wrapText="1"/>
      <protection locked="0"/>
    </xf>
    <xf numFmtId="0" fontId="0" fillId="0" borderId="1" xfId="0" applyBorder="1" applyAlignment="1" applyProtection="1">
      <alignment wrapText="1"/>
      <protection locked="0"/>
    </xf>
    <xf numFmtId="0" fontId="1" fillId="0" borderId="0" xfId="0"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9" fontId="1" fillId="2" borderId="1" xfId="0" applyNumberFormat="1" applyFont="1" applyFill="1" applyBorder="1" applyAlignment="1">
      <alignment horizontal="center" vertical="center" wrapText="1"/>
    </xf>
    <xf numFmtId="0" fontId="27" fillId="10" borderId="9" xfId="1" applyFont="1" applyFill="1" applyBorder="1" applyAlignment="1">
      <alignment horizontal="center" vertical="center" wrapText="1"/>
    </xf>
    <xf numFmtId="0" fontId="27" fillId="3" borderId="9" xfId="1" applyFont="1" applyFill="1" applyBorder="1" applyAlignment="1">
      <alignment horizontal="center" vertical="center" wrapText="1"/>
    </xf>
    <xf numFmtId="0" fontId="27" fillId="4" borderId="9" xfId="1" applyFont="1" applyFill="1" applyBorder="1" applyAlignment="1">
      <alignment horizontal="center" vertical="center" wrapText="1"/>
    </xf>
    <xf numFmtId="0" fontId="27" fillId="11" borderId="9" xfId="1" applyFont="1" applyFill="1" applyBorder="1" applyAlignment="1">
      <alignment horizontal="center" vertical="center" wrapText="1"/>
    </xf>
    <xf numFmtId="0" fontId="27" fillId="7" borderId="9" xfId="1" applyFont="1" applyFill="1" applyBorder="1" applyAlignment="1">
      <alignment horizontal="center" vertical="center" wrapText="1"/>
    </xf>
    <xf numFmtId="0" fontId="27" fillId="12" borderId="9" xfId="1" applyFont="1" applyFill="1" applyBorder="1" applyAlignment="1">
      <alignment horizontal="center" vertical="center" wrapText="1"/>
    </xf>
    <xf numFmtId="0" fontId="28" fillId="0" borderId="0" xfId="0" applyFont="1"/>
    <xf numFmtId="0" fontId="29" fillId="0" borderId="0" xfId="0" applyFont="1"/>
    <xf numFmtId="0" fontId="30" fillId="0" borderId="0" xfId="1" applyFont="1"/>
    <xf numFmtId="0" fontId="0" fillId="0" borderId="1" xfId="0" applyBorder="1" applyAlignment="1" applyProtection="1">
      <alignment vertical="top"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top" wrapText="1"/>
      <protection locked="0"/>
    </xf>
    <xf numFmtId="9" fontId="32" fillId="14" borderId="13" xfId="0" applyNumberFormat="1" applyFont="1" applyFill="1" applyBorder="1" applyAlignment="1">
      <alignment horizontal="center" vertical="center"/>
    </xf>
    <xf numFmtId="17" fontId="0" fillId="0" borderId="1" xfId="0" applyNumberFormat="1" applyBorder="1" applyAlignment="1" applyProtection="1">
      <alignment vertical="top" wrapText="1"/>
      <protection locked="0"/>
    </xf>
    <xf numFmtId="0" fontId="5" fillId="12" borderId="0" xfId="0" applyFont="1" applyFill="1" applyAlignment="1">
      <alignment vertical="top"/>
    </xf>
    <xf numFmtId="164" fontId="5" fillId="12" borderId="0" xfId="0" applyNumberFormat="1" applyFont="1" applyFill="1" applyAlignment="1">
      <alignment vertical="top"/>
    </xf>
    <xf numFmtId="0" fontId="0" fillId="0" borderId="0" xfId="0" applyAlignment="1">
      <alignment vertical="top"/>
    </xf>
    <xf numFmtId="0" fontId="1" fillId="2" borderId="1" xfId="0" applyFont="1" applyFill="1" applyBorder="1" applyAlignment="1">
      <alignment horizontal="center" vertical="top" wrapText="1"/>
    </xf>
    <xf numFmtId="164" fontId="1" fillId="2" borderId="1" xfId="0" applyNumberFormat="1" applyFont="1" applyFill="1" applyBorder="1" applyAlignment="1">
      <alignment horizontal="center" vertical="top" wrapText="1"/>
    </xf>
    <xf numFmtId="1" fontId="1" fillId="2" borderId="1" xfId="0" applyNumberFormat="1" applyFont="1" applyFill="1" applyBorder="1" applyAlignment="1">
      <alignment horizontal="center" vertical="top" wrapText="1"/>
    </xf>
    <xf numFmtId="9" fontId="1" fillId="2" borderId="1" xfId="0" applyNumberFormat="1" applyFont="1" applyFill="1" applyBorder="1" applyAlignment="1">
      <alignment horizontal="center" vertical="top" wrapText="1"/>
    </xf>
    <xf numFmtId="0" fontId="0" fillId="13" borderId="1" xfId="0" applyFill="1" applyBorder="1" applyAlignment="1">
      <alignment horizontal="center" vertical="top" wrapText="1"/>
    </xf>
    <xf numFmtId="164" fontId="0" fillId="13" borderId="1" xfId="0" applyNumberFormat="1" applyFill="1" applyBorder="1" applyAlignment="1">
      <alignment horizontal="center" vertical="top" wrapText="1"/>
    </xf>
    <xf numFmtId="1" fontId="0" fillId="0" borderId="1" xfId="0" applyNumberFormat="1" applyBorder="1" applyAlignment="1" applyProtection="1">
      <alignment horizontal="center" vertical="top" wrapText="1"/>
      <protection locked="0"/>
    </xf>
    <xf numFmtId="9" fontId="0" fillId="0" borderId="1" xfId="0" applyNumberFormat="1" applyBorder="1" applyAlignment="1" applyProtection="1">
      <alignment horizontal="center" vertical="top" wrapText="1"/>
      <protection locked="0"/>
    </xf>
    <xf numFmtId="17" fontId="0" fillId="0" borderId="1" xfId="0" applyNumberFormat="1" applyBorder="1" applyAlignment="1" applyProtection="1">
      <alignment horizontal="left" vertical="top" wrapText="1"/>
      <protection locked="0"/>
    </xf>
    <xf numFmtId="164" fontId="0" fillId="0" borderId="1" xfId="0" applyNumberFormat="1" applyBorder="1" applyAlignment="1" applyProtection="1">
      <alignment horizontal="center" vertical="top" wrapText="1"/>
      <protection locked="0"/>
    </xf>
    <xf numFmtId="9" fontId="0" fillId="0" borderId="1" xfId="0" applyNumberFormat="1" applyBorder="1" applyAlignment="1" applyProtection="1">
      <alignment vertical="top" wrapText="1"/>
      <protection locked="0"/>
    </xf>
    <xf numFmtId="0" fontId="0" fillId="0" borderId="0" xfId="0" applyAlignment="1">
      <alignment vertical="top" wrapText="1"/>
    </xf>
    <xf numFmtId="0" fontId="7" fillId="0" borderId="0" xfId="0" applyFont="1" applyAlignment="1">
      <alignment vertical="top" wrapText="1"/>
    </xf>
    <xf numFmtId="0" fontId="0" fillId="0" borderId="0" xfId="0" applyAlignment="1" applyProtection="1">
      <alignment vertical="top" wrapText="1"/>
      <protection locked="0"/>
    </xf>
    <xf numFmtId="0" fontId="0" fillId="0" borderId="0" xfId="0" applyAlignment="1">
      <alignment horizontal="center" vertical="top" wrapText="1"/>
    </xf>
    <xf numFmtId="164" fontId="0" fillId="0" borderId="0" xfId="0" applyNumberFormat="1" applyAlignment="1">
      <alignment vertical="top" wrapText="1"/>
    </xf>
    <xf numFmtId="164" fontId="0" fillId="0" borderId="0" xfId="0" applyNumberFormat="1" applyAlignment="1" applyProtection="1">
      <alignment vertical="top" wrapText="1"/>
      <protection locked="0"/>
    </xf>
    <xf numFmtId="1" fontId="0" fillId="0" borderId="0" xfId="0" applyNumberFormat="1" applyAlignment="1" applyProtection="1">
      <alignment vertical="top" wrapText="1"/>
      <protection locked="0"/>
    </xf>
    <xf numFmtId="0" fontId="0" fillId="0" borderId="0" xfId="0" applyAlignment="1" applyProtection="1">
      <alignment horizontal="center" vertical="top" wrapText="1"/>
      <protection locked="0"/>
    </xf>
    <xf numFmtId="9" fontId="0" fillId="0" borderId="0" xfId="0" applyNumberFormat="1" applyAlignment="1" applyProtection="1">
      <alignment vertical="top" wrapText="1"/>
      <protection locked="0"/>
    </xf>
    <xf numFmtId="0" fontId="0" fillId="0" borderId="0" xfId="0" applyAlignment="1" applyProtection="1">
      <alignment horizontal="left" vertical="center" wrapText="1"/>
      <protection locked="0"/>
    </xf>
    <xf numFmtId="14" fontId="0" fillId="0" borderId="1" xfId="0" applyNumberFormat="1" applyBorder="1" applyAlignment="1" applyProtection="1">
      <alignment horizontal="left" vertical="center" wrapText="1"/>
      <protection locked="0"/>
    </xf>
    <xf numFmtId="0" fontId="33" fillId="0" borderId="16" xfId="0" applyFont="1" applyBorder="1" applyAlignment="1">
      <alignment horizontal="center" vertical="center"/>
    </xf>
    <xf numFmtId="0" fontId="33" fillId="0" borderId="17" xfId="0" applyFont="1" applyBorder="1" applyAlignment="1">
      <alignment horizontal="center" vertical="center"/>
    </xf>
    <xf numFmtId="0" fontId="36" fillId="12" borderId="0" xfId="0" applyFont="1" applyFill="1" applyAlignment="1">
      <alignment vertical="top"/>
    </xf>
    <xf numFmtId="0" fontId="39" fillId="0" borderId="1" xfId="0" applyFont="1" applyBorder="1" applyAlignment="1" applyProtection="1">
      <alignment horizontal="left" vertical="top" wrapText="1"/>
      <protection locked="0"/>
    </xf>
    <xf numFmtId="0" fontId="0" fillId="0" borderId="0" xfId="0" applyAlignment="1" applyProtection="1">
      <alignment vertical="center" wrapText="1"/>
      <protection locked="0"/>
    </xf>
    <xf numFmtId="0" fontId="31" fillId="18" borderId="0" xfId="0" applyFont="1" applyFill="1" applyAlignment="1" applyProtection="1">
      <alignment vertical="center" wrapText="1"/>
      <protection locked="0"/>
    </xf>
    <xf numFmtId="164" fontId="16" fillId="6" borderId="14" xfId="0" applyNumberFormat="1" applyFont="1" applyFill="1" applyBorder="1" applyAlignment="1">
      <alignment horizontal="center" vertical="center"/>
    </xf>
    <xf numFmtId="164" fontId="16" fillId="5" borderId="14" xfId="0" applyNumberFormat="1" applyFont="1" applyFill="1" applyBorder="1" applyAlignment="1">
      <alignment horizontal="center" vertical="center"/>
    </xf>
    <xf numFmtId="164" fontId="16" fillId="3" borderId="14" xfId="0" applyNumberFormat="1" applyFont="1" applyFill="1" applyBorder="1" applyAlignment="1">
      <alignment horizontal="center" vertical="center"/>
    </xf>
    <xf numFmtId="164" fontId="16" fillId="4" borderId="14" xfId="0" applyNumberFormat="1" applyFont="1" applyFill="1" applyBorder="1" applyAlignment="1">
      <alignment horizontal="center" vertical="center"/>
    </xf>
    <xf numFmtId="164" fontId="16" fillId="7" borderId="14" xfId="0" applyNumberFormat="1" applyFont="1" applyFill="1" applyBorder="1" applyAlignment="1">
      <alignment horizontal="center" vertical="center"/>
    </xf>
    <xf numFmtId="164" fontId="16" fillId="12" borderId="14" xfId="0" applyNumberFormat="1" applyFont="1" applyFill="1" applyBorder="1" applyAlignment="1">
      <alignment horizontal="center" vertical="top"/>
    </xf>
  </cellXfs>
  <cellStyles count="2">
    <cellStyle name="Hyperlink" xfId="1" builtinId="8"/>
    <cellStyle name="Normal" xfId="0" builtinId="0"/>
  </cellStyles>
  <dxfs count="51">
    <dxf>
      <font>
        <b/>
        <i val="0"/>
      </font>
      <fill>
        <patternFill>
          <bgColor rgb="FFFF0000"/>
        </patternFill>
      </fill>
    </dxf>
    <dxf>
      <font>
        <b/>
        <i val="0"/>
      </font>
      <fill>
        <patternFill>
          <bgColor rgb="FFFFC000"/>
        </patternFill>
      </fill>
    </dxf>
    <dxf>
      <font>
        <b/>
        <i val="0"/>
      </font>
      <fill>
        <patternFill>
          <bgColor rgb="FF92D050"/>
        </patternFill>
      </fill>
    </dxf>
    <dxf>
      <fill>
        <patternFill>
          <bgColor theme="3" tint="0.59996337778862885"/>
        </patternFill>
      </fill>
    </dxf>
    <dxf>
      <fill>
        <patternFill>
          <bgColor rgb="FF92D050"/>
        </patternFill>
      </fill>
    </dxf>
    <dxf>
      <fill>
        <patternFill>
          <bgColor theme="0" tint="-0.24994659260841701"/>
        </patternFill>
      </fill>
    </dxf>
    <dxf>
      <fill>
        <patternFill>
          <bgColor rgb="FFFFFF00"/>
        </patternFill>
      </fill>
    </dxf>
    <dxf>
      <font>
        <b/>
        <i val="0"/>
      </font>
      <fill>
        <patternFill>
          <bgColor rgb="FFFF0000"/>
        </patternFill>
      </fill>
    </dxf>
    <dxf>
      <font>
        <b/>
        <i val="0"/>
      </font>
      <fill>
        <patternFill>
          <bgColor rgb="FFFFC000"/>
        </patternFill>
      </fill>
    </dxf>
    <dxf>
      <font>
        <b/>
        <i val="0"/>
      </font>
      <fill>
        <patternFill>
          <bgColor rgb="FF92D050"/>
        </patternFill>
      </fill>
    </dxf>
    <dxf>
      <font>
        <color theme="0"/>
      </font>
      <fill>
        <patternFill patternType="solid">
          <bgColor theme="1" tint="0.499984740745262"/>
        </patternFill>
      </fill>
    </dxf>
    <dxf>
      <fill>
        <patternFill>
          <bgColor theme="3" tint="0.59996337778862885"/>
        </patternFill>
      </fill>
    </dxf>
    <dxf>
      <fill>
        <patternFill>
          <bgColor rgb="FF92D050"/>
        </patternFill>
      </fill>
    </dxf>
    <dxf>
      <fill>
        <patternFill>
          <bgColor theme="0" tint="-0.24994659260841701"/>
        </patternFill>
      </fill>
    </dxf>
    <dxf>
      <fill>
        <patternFill>
          <bgColor rgb="FFFFFF00"/>
        </patternFill>
      </fill>
    </dxf>
    <dxf>
      <font>
        <b/>
        <i val="0"/>
      </font>
      <fill>
        <patternFill>
          <bgColor rgb="FFFF0000"/>
        </patternFill>
      </fill>
    </dxf>
    <dxf>
      <font>
        <b/>
        <i val="0"/>
      </font>
      <fill>
        <patternFill>
          <bgColor rgb="FFFFC000"/>
        </patternFill>
      </fill>
    </dxf>
    <dxf>
      <font>
        <b/>
        <i val="0"/>
      </font>
      <fill>
        <patternFill>
          <bgColor rgb="FF92D050"/>
        </patternFill>
      </fill>
    </dxf>
    <dxf>
      <font>
        <color theme="0"/>
      </font>
      <fill>
        <patternFill patternType="solid">
          <bgColor theme="1" tint="0.499984740745262"/>
        </patternFill>
      </fill>
    </dxf>
    <dxf>
      <fill>
        <patternFill>
          <bgColor theme="3" tint="0.59996337778862885"/>
        </patternFill>
      </fill>
    </dxf>
    <dxf>
      <fill>
        <patternFill>
          <bgColor rgb="FF92D050"/>
        </patternFill>
      </fill>
    </dxf>
    <dxf>
      <fill>
        <patternFill>
          <bgColor theme="0" tint="-0.24994659260841701"/>
        </patternFill>
      </fill>
    </dxf>
    <dxf>
      <fill>
        <patternFill>
          <bgColor rgb="FFFFFF00"/>
        </patternFill>
      </fill>
    </dxf>
    <dxf>
      <font>
        <b/>
        <i val="0"/>
      </font>
      <fill>
        <patternFill>
          <bgColor rgb="FFFF0000"/>
        </patternFill>
      </fill>
    </dxf>
    <dxf>
      <font>
        <b/>
        <i val="0"/>
      </font>
      <fill>
        <patternFill>
          <bgColor rgb="FFFFC000"/>
        </patternFill>
      </fill>
    </dxf>
    <dxf>
      <font>
        <b/>
        <i val="0"/>
      </font>
      <fill>
        <patternFill>
          <bgColor rgb="FF92D050"/>
        </patternFill>
      </fill>
    </dxf>
    <dxf>
      <font>
        <color theme="0"/>
      </font>
      <fill>
        <patternFill patternType="solid">
          <bgColor theme="1" tint="0.499984740745262"/>
        </patternFill>
      </fill>
    </dxf>
    <dxf>
      <fill>
        <patternFill>
          <bgColor theme="3" tint="0.59996337778862885"/>
        </patternFill>
      </fill>
    </dxf>
    <dxf>
      <fill>
        <patternFill>
          <bgColor rgb="FF92D050"/>
        </patternFill>
      </fill>
    </dxf>
    <dxf>
      <fill>
        <patternFill>
          <bgColor theme="0" tint="-0.24994659260841701"/>
        </patternFill>
      </fill>
    </dxf>
    <dxf>
      <fill>
        <patternFill>
          <bgColor rgb="FFFFFF00"/>
        </patternFill>
      </fill>
    </dxf>
    <dxf>
      <font>
        <b/>
        <i val="0"/>
      </font>
      <fill>
        <patternFill>
          <bgColor rgb="FFFF0000"/>
        </patternFill>
      </fill>
    </dxf>
    <dxf>
      <font>
        <b/>
        <i val="0"/>
      </font>
      <fill>
        <patternFill>
          <bgColor rgb="FFFFC000"/>
        </patternFill>
      </fill>
    </dxf>
    <dxf>
      <font>
        <b/>
        <i val="0"/>
      </font>
      <fill>
        <patternFill>
          <bgColor rgb="FF92D050"/>
        </patternFill>
      </fill>
    </dxf>
    <dxf>
      <font>
        <color theme="0"/>
      </font>
      <fill>
        <patternFill patternType="solid">
          <bgColor theme="1" tint="0.499984740745262"/>
        </patternFill>
      </fill>
    </dxf>
    <dxf>
      <fill>
        <patternFill>
          <bgColor theme="3" tint="0.59996337778862885"/>
        </patternFill>
      </fill>
    </dxf>
    <dxf>
      <fill>
        <patternFill>
          <bgColor rgb="FF92D050"/>
        </patternFill>
      </fill>
    </dxf>
    <dxf>
      <fill>
        <patternFill>
          <bgColor theme="0" tint="-0.24994659260841701"/>
        </patternFill>
      </fill>
    </dxf>
    <dxf>
      <fill>
        <patternFill>
          <bgColor rgb="FFFFFF00"/>
        </patternFill>
      </fill>
    </dxf>
    <dxf>
      <font>
        <b/>
        <i val="0"/>
      </font>
      <fill>
        <patternFill>
          <bgColor rgb="FFFF0000"/>
        </patternFill>
      </fill>
    </dxf>
    <dxf>
      <font>
        <b/>
        <i val="0"/>
      </font>
      <fill>
        <patternFill>
          <bgColor rgb="FFFFC000"/>
        </patternFill>
      </fill>
    </dxf>
    <dxf>
      <font>
        <b/>
        <i val="0"/>
      </font>
      <fill>
        <patternFill>
          <bgColor rgb="FF92D050"/>
        </patternFill>
      </fill>
    </dxf>
    <dxf>
      <font>
        <color theme="0"/>
      </font>
      <fill>
        <patternFill patternType="solid">
          <bgColor theme="1" tint="0.499984740745262"/>
        </patternFill>
      </fill>
    </dxf>
    <dxf>
      <fill>
        <patternFill>
          <bgColor theme="3" tint="0.59996337778862885"/>
        </patternFill>
      </fill>
    </dxf>
    <dxf>
      <fill>
        <patternFill>
          <bgColor rgb="FF92D050"/>
        </patternFill>
      </fill>
    </dxf>
    <dxf>
      <fill>
        <patternFill>
          <bgColor theme="0" tint="-0.24994659260841701"/>
        </patternFill>
      </fill>
    </dxf>
    <dxf>
      <fill>
        <patternFill>
          <bgColor rgb="FFFFFF00"/>
        </patternFill>
      </fill>
    </dxf>
    <dxf>
      <font>
        <b/>
        <i val="0"/>
      </font>
      <fill>
        <patternFill>
          <bgColor rgb="FFFF0000"/>
        </patternFill>
      </fill>
    </dxf>
    <dxf>
      <font>
        <b/>
        <i val="0"/>
      </font>
      <fill>
        <patternFill>
          <bgColor rgb="FFFFC000"/>
        </patternFill>
      </fill>
    </dxf>
    <dxf>
      <font>
        <b/>
        <i val="0"/>
      </font>
      <fill>
        <patternFill>
          <bgColor rgb="FF92D050"/>
        </patternFill>
      </fill>
    </dxf>
    <dxf>
      <font>
        <color theme="0"/>
      </font>
      <fill>
        <patternFill patternType="solid">
          <bgColor theme="1" tint="0.499984740745262"/>
        </patternFill>
      </fill>
    </dxf>
  </dxfs>
  <tableStyles count="0" defaultTableStyle="TableStyleMedium9"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cap="all" spc="120" normalizeH="0" baseline="0">
                <a:solidFill>
                  <a:schemeClr val="tx1">
                    <a:lumMod val="65000"/>
                    <a:lumOff val="35000"/>
                  </a:schemeClr>
                </a:solidFill>
                <a:latin typeface="+mn-lt"/>
                <a:ea typeface="+mn-ea"/>
                <a:cs typeface="+mn-cs"/>
              </a:defRPr>
            </a:pPr>
            <a:r>
              <a:rPr lang="en-US" sz="2800"/>
              <a:t>Percentage Completion by Focus Area</a:t>
            </a:r>
          </a:p>
        </c:rich>
      </c:tx>
      <c:overlay val="0"/>
      <c:spPr>
        <a:noFill/>
        <a:ln>
          <a:noFill/>
        </a:ln>
        <a:effectLst/>
      </c:spPr>
      <c:txPr>
        <a:bodyPr rot="0" spcFirstLastPara="1" vertOverflow="ellipsis" vert="horz" wrap="square" anchor="ctr" anchorCtr="1"/>
        <a:lstStyle/>
        <a:p>
          <a:pPr>
            <a:defRPr sz="28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Dashboard!$B$6:$B$11</c:f>
              <c:strCache>
                <c:ptCount val="6"/>
                <c:pt idx="0">
                  <c:v>Financial Stability</c:v>
                </c:pt>
                <c:pt idx="1">
                  <c:v>Youth Succession Planning</c:v>
                </c:pt>
                <c:pt idx="2">
                  <c:v>Wider Community Engagement</c:v>
                </c:pt>
                <c:pt idx="3">
                  <c:v>Building Teams &amp; Leadership</c:v>
                </c:pt>
                <c:pt idx="4">
                  <c:v>Community Activities</c:v>
                </c:pt>
                <c:pt idx="5">
                  <c:v>Spiritual Focus</c:v>
                </c:pt>
              </c:strCache>
            </c:strRef>
          </c:cat>
          <c:val>
            <c:numRef>
              <c:f>Dashboard!$E$6:$E$11</c:f>
              <c:numCache>
                <c:formatCode>0%</c:formatCode>
                <c:ptCount val="6"/>
                <c:pt idx="0">
                  <c:v>0.64999999999999991</c:v>
                </c:pt>
                <c:pt idx="1">
                  <c:v>0.53333333333333333</c:v>
                </c:pt>
                <c:pt idx="2">
                  <c:v>0.55714285714285716</c:v>
                </c:pt>
                <c:pt idx="3">
                  <c:v>0.55000000000000004</c:v>
                </c:pt>
                <c:pt idx="4">
                  <c:v>0.69999999999999984</c:v>
                </c:pt>
                <c:pt idx="5">
                  <c:v>0.6399999999999999</c:v>
                </c:pt>
              </c:numCache>
            </c:numRef>
          </c:val>
          <c:extLst>
            <c:ext xmlns:c16="http://schemas.microsoft.com/office/drawing/2014/chart" uri="{C3380CC4-5D6E-409C-BE32-E72D297353CC}">
              <c16:uniqueId val="{00000000-4B0C-104D-94A2-48ADF0C8FEA9}"/>
            </c:ext>
          </c:extLst>
        </c:ser>
        <c:dLbls>
          <c:showLegendKey val="0"/>
          <c:showVal val="1"/>
          <c:showCatName val="0"/>
          <c:showSerName val="0"/>
          <c:showPercent val="0"/>
          <c:showBubbleSize val="0"/>
        </c:dLbls>
        <c:gapWidth val="79"/>
        <c:shape val="box"/>
        <c:axId val="1459546176"/>
        <c:axId val="1459542144"/>
        <c:axId val="0"/>
      </c:bar3DChart>
      <c:catAx>
        <c:axId val="145954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n-US"/>
          </a:p>
        </c:txPr>
        <c:crossAx val="1459542144"/>
        <c:crosses val="autoZero"/>
        <c:auto val="1"/>
        <c:lblAlgn val="ctr"/>
        <c:lblOffset val="100"/>
        <c:noMultiLvlLbl val="0"/>
      </c:catAx>
      <c:valAx>
        <c:axId val="1459542144"/>
        <c:scaling>
          <c:orientation val="minMax"/>
        </c:scaling>
        <c:delete val="1"/>
        <c:axPos val="l"/>
        <c:numFmt formatCode="0%" sourceLinked="1"/>
        <c:majorTickMark val="none"/>
        <c:minorTickMark val="none"/>
        <c:tickLblPos val="nextTo"/>
        <c:crossAx val="145954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104775</xdr:colOff>
      <xdr:row>0</xdr:row>
      <xdr:rowOff>85725</xdr:rowOff>
    </xdr:from>
    <xdr:to>
      <xdr:col>33</xdr:col>
      <xdr:colOff>457200</xdr:colOff>
      <xdr:row>12</xdr:row>
      <xdr:rowOff>28575</xdr:rowOff>
    </xdr:to>
    <xdr:graphicFrame macro="">
      <xdr:nvGraphicFramePr>
        <xdr:cNvPr id="8" name="Chart 7">
          <a:extLst>
            <a:ext uri="{FF2B5EF4-FFF2-40B4-BE49-F238E27FC236}">
              <a16:creationId xmlns:a16="http://schemas.microsoft.com/office/drawing/2014/main" id="{BD55F76E-CA6F-0ED4-5287-EE14A35A6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eXVIGUn2riw"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6"/>
  <sheetViews>
    <sheetView zoomScale="40" zoomScaleNormal="40" workbookViewId="0">
      <selection activeCell="AM5" sqref="AM5"/>
    </sheetView>
  </sheetViews>
  <sheetFormatPr defaultColWidth="8.85546875" defaultRowHeight="15"/>
  <cols>
    <col min="1" max="1" width="3.28515625" customWidth="1"/>
    <col min="2" max="2" width="26" style="3" customWidth="1"/>
    <col min="3" max="3" width="20.28515625" style="4" customWidth="1"/>
    <col min="4" max="4" width="21.7109375" style="4" customWidth="1"/>
    <col min="5" max="5" width="21.7109375" customWidth="1"/>
  </cols>
  <sheetData>
    <row r="1" spans="2:5" s="92" customFormat="1" ht="46.5">
      <c r="B1" s="90" t="s">
        <v>0</v>
      </c>
      <c r="C1" s="91"/>
      <c r="D1" s="91"/>
    </row>
    <row r="2" spans="2:5" s="92" customFormat="1" ht="46.5">
      <c r="B2" s="90" t="s">
        <v>1</v>
      </c>
      <c r="C2" s="91"/>
      <c r="D2" s="91"/>
    </row>
    <row r="3" spans="2:5" s="89" customFormat="1" ht="36.75">
      <c r="B3" s="93" t="s">
        <v>2</v>
      </c>
      <c r="C3" s="94"/>
      <c r="D3" s="94"/>
    </row>
    <row r="4" spans="2:5" ht="19.5" thickBot="1">
      <c r="B4" s="115"/>
      <c r="C4" s="116"/>
    </row>
    <row r="5" spans="2:5" ht="54.75">
      <c r="B5" s="95" t="s">
        <v>3</v>
      </c>
      <c r="C5" s="96" t="s">
        <v>4</v>
      </c>
      <c r="D5" s="97" t="s">
        <v>5</v>
      </c>
      <c r="E5" s="98" t="s">
        <v>6</v>
      </c>
    </row>
    <row r="6" spans="2:5" ht="71.25" customHeight="1">
      <c r="B6" s="121" t="str">
        <f>'Data (Master Table)'!W3</f>
        <v>Financial Stability</v>
      </c>
      <c r="C6" s="99">
        <f>COUNTIF('Data (Master Table)'!C3:C17, "YES")</f>
        <v>4</v>
      </c>
      <c r="D6" s="100">
        <f>SUM('Financial Stability'!L:L)</f>
        <v>6</v>
      </c>
      <c r="E6" s="101">
        <f>AVERAGE('Financial Stability'!R:R)</f>
        <v>0.64999999999999991</v>
      </c>
    </row>
    <row r="7" spans="2:5" ht="87" customHeight="1">
      <c r="B7" s="122" t="str">
        <f>'Data (Master Table)'!W4</f>
        <v>Youth Succession Planning</v>
      </c>
      <c r="C7" s="99">
        <f>COUNTIF('Data (Master Table)'!C18:C32, "YES")</f>
        <v>6</v>
      </c>
      <c r="D7" s="99">
        <f>SUM('Youth Succession Planning'!L:L)</f>
        <v>34</v>
      </c>
      <c r="E7" s="101">
        <f>AVERAGE('Youth Succession Planning'!R:R)</f>
        <v>0.53333333333333333</v>
      </c>
    </row>
    <row r="8" spans="2:5" ht="93.75" customHeight="1">
      <c r="B8" s="123" t="str">
        <f>'Data (Master Table)'!W5</f>
        <v>Wider Community Engagement</v>
      </c>
      <c r="C8" s="99">
        <f>COUNTIF('Data (Master Table)'!C33:C47, "YES")</f>
        <v>7</v>
      </c>
      <c r="D8" s="100">
        <f>SUM('Wider Community Engagement'!L:L)</f>
        <v>24</v>
      </c>
      <c r="E8" s="101">
        <f>AVERAGE('Wider Community Engagement'!R:R)</f>
        <v>0.55714285714285716</v>
      </c>
    </row>
    <row r="9" spans="2:5" ht="92.25" customHeight="1">
      <c r="B9" s="124" t="str">
        <f>'Data (Master Table)'!W6</f>
        <v>Building Teams &amp; Leadership</v>
      </c>
      <c r="C9" s="99">
        <f>COUNTIF('Data (Master Table)'!C48:C62, "YES")</f>
        <v>4</v>
      </c>
      <c r="D9" s="99">
        <f>SUM('Building Teams &amp; Leadership'!L:L)</f>
        <v>12</v>
      </c>
      <c r="E9" s="101">
        <f>AVERAGE('Building Teams &amp; Leadership'!R:R)</f>
        <v>0.55000000000000004</v>
      </c>
    </row>
    <row r="10" spans="2:5" ht="77.25" customHeight="1">
      <c r="B10" s="125" t="str">
        <f>'Data (Master Table)'!W7</f>
        <v>Community Activities</v>
      </c>
      <c r="C10" s="99">
        <f>COUNTIF('Data (Master Table)'!C63:C77, "YES")</f>
        <v>3</v>
      </c>
      <c r="D10" s="99">
        <f>SUM('Community Activities'!L:L)</f>
        <v>12</v>
      </c>
      <c r="E10" s="101">
        <f>AVERAGE('Community Activities'!R:R)</f>
        <v>0.69999999999999984</v>
      </c>
    </row>
    <row r="11" spans="2:5" ht="71.25" customHeight="1">
      <c r="B11" s="126" t="str">
        <f>'Data (Master Table)'!W8</f>
        <v>Spiritual Focus</v>
      </c>
      <c r="C11" s="99">
        <f>COUNTIF('Data (Master Table)'!C78:C91, "YES")</f>
        <v>6</v>
      </c>
      <c r="D11" s="99">
        <f>SUM('Spiritual Focus'!L:L)</f>
        <v>13</v>
      </c>
      <c r="E11" s="101">
        <f>AVERAGE('Spiritual Focus'!R:R)</f>
        <v>0.6399999999999999</v>
      </c>
    </row>
    <row r="12" spans="2:5" ht="51.75" customHeight="1" thickBot="1">
      <c r="B12" s="31" t="s">
        <v>7</v>
      </c>
      <c r="C12" s="32">
        <f>SUM(C6:C11)</f>
        <v>30</v>
      </c>
      <c r="D12" s="33">
        <f>SUM(D6:D11)</f>
        <v>101</v>
      </c>
      <c r="E12" s="133">
        <f>AVERAGE(E6:E11)</f>
        <v>0.60507936507936499</v>
      </c>
    </row>
    <row r="13" spans="2:5" ht="45.75" customHeight="1"/>
    <row r="14" spans="2:5" ht="45" customHeight="1"/>
    <row r="16" spans="2:5" ht="33" customHeight="1"/>
  </sheetData>
  <sheetProtection sheet="1" objects="1" scenarios="1"/>
  <hyperlinks>
    <hyperlink ref="B6" location="'Financial Stability'!A1" display="='Data (Master Table)'!V3" xr:uid="{86974ECE-7E0C-49D7-8D07-CEE59A5957DD}"/>
    <hyperlink ref="B7" location="'Youth Succession Planning'!A1" display="='Data (Master Table)'!V4" xr:uid="{3CE834C8-842A-4980-B094-BA14D4A77D42}"/>
    <hyperlink ref="B8" location="'Wider Community Engagement'!A1" display="='Data (Master Table)'!V5" xr:uid="{6A01BBC6-063B-4CCE-BAED-118CB843D5E2}"/>
    <hyperlink ref="B9" location="'Building Teams &amp; Leadership'!A1" display="='Data (Master Table)'!V6" xr:uid="{3BF241A6-3A38-44F9-8E77-5BAE783EEDB1}"/>
    <hyperlink ref="B10" location="'Community Activities'!A1" display="='Data (Master Table)'!V7" xr:uid="{0D7E35EE-499B-4503-8DDF-809C3A6106B5}"/>
    <hyperlink ref="B11" location="'Spiritual Focus'!A1" display="='Data (Master Table)'!V8" xr:uid="{4EAA4F7A-2A0E-44CD-B57C-74A29AA83426}"/>
  </hyperlink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zoomScale="110" zoomScaleNormal="110" workbookViewId="0">
      <selection activeCell="L14" sqref="L14"/>
    </sheetView>
  </sheetViews>
  <sheetFormatPr defaultColWidth="8.85546875" defaultRowHeight="15"/>
  <sheetData>
    <row r="1" spans="1:7" ht="18.75">
      <c r="A1" s="1" t="s">
        <v>8</v>
      </c>
    </row>
    <row r="3" spans="1:7">
      <c r="A3" s="2" t="s">
        <v>9</v>
      </c>
    </row>
    <row r="4" spans="1:7">
      <c r="A4" t="s">
        <v>10</v>
      </c>
    </row>
    <row r="6" spans="1:7">
      <c r="A6" s="2" t="s">
        <v>11</v>
      </c>
    </row>
    <row r="7" spans="1:7">
      <c r="A7" t="s">
        <v>12</v>
      </c>
    </row>
    <row r="8" spans="1:7">
      <c r="A8" t="s">
        <v>13</v>
      </c>
    </row>
    <row r="9" spans="1:7">
      <c r="A9" t="s">
        <v>14</v>
      </c>
    </row>
    <row r="10" spans="1:7">
      <c r="A10" t="s">
        <v>15</v>
      </c>
    </row>
    <row r="11" spans="1:7">
      <c r="A11" t="s">
        <v>16</v>
      </c>
    </row>
    <row r="12" spans="1:7">
      <c r="A12" t="s">
        <v>17</v>
      </c>
    </row>
    <row r="13" spans="1:7" s="9" customFormat="1">
      <c r="A13" s="127" t="s">
        <v>18</v>
      </c>
    </row>
    <row r="15" spans="1:7" ht="21">
      <c r="A15" s="128" t="s">
        <v>19</v>
      </c>
      <c r="G15" s="129" t="s">
        <v>20</v>
      </c>
    </row>
    <row r="17" spans="1:1" ht="18.75">
      <c r="A17" s="5" t="s">
        <v>21</v>
      </c>
    </row>
  </sheetData>
  <sheetProtection sheet="1" objects="1" scenarios="1"/>
  <hyperlinks>
    <hyperlink ref="G15" r:id="rId1" xr:uid="{D332029C-6D58-4C56-9A73-DC61125B0187}"/>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CF16"/>
  <sheetViews>
    <sheetView zoomScale="80" zoomScaleNormal="80" workbookViewId="0">
      <pane xSplit="10" ySplit="2" topLeftCell="K3" activePane="bottomRight" state="frozen"/>
      <selection pane="bottomRight" activeCell="J1" sqref="J1"/>
      <selection pane="bottomLeft" activeCell="A3" sqref="A3"/>
      <selection pane="topRight" activeCell="J1" sqref="J1"/>
    </sheetView>
  </sheetViews>
  <sheetFormatPr defaultColWidth="8.85546875" defaultRowHeight="15" customHeight="1"/>
  <cols>
    <col min="1" max="1" width="8.85546875" style="65"/>
    <col min="2" max="2" width="16.5703125" customWidth="1"/>
    <col min="3" max="3" width="20.5703125" style="4" customWidth="1"/>
    <col min="4" max="4" width="27" style="4" customWidth="1"/>
    <col min="5" max="5" width="15.85546875" style="4" customWidth="1"/>
    <col min="6" max="6" width="12.140625" customWidth="1"/>
    <col min="7" max="7" width="16.42578125" customWidth="1"/>
    <col min="8" max="8" width="10.7109375" bestFit="1" customWidth="1"/>
    <col min="9" max="9" width="13.85546875" customWidth="1"/>
    <col min="10" max="10" width="23" style="57" customWidth="1"/>
    <col min="11" max="11" width="21.28515625" style="73" customWidth="1"/>
    <col min="12" max="12" width="14.28515625" style="74" customWidth="1"/>
    <col min="13" max="13" width="25.42578125" style="72" bestFit="1" customWidth="1"/>
    <col min="14" max="14" width="17.85546875" style="65" customWidth="1"/>
    <col min="15" max="15" width="31.42578125" style="65" customWidth="1"/>
    <col min="16" max="16" width="17.140625" style="75" customWidth="1"/>
    <col min="17" max="17" width="15.140625" style="72" customWidth="1"/>
    <col min="18" max="18" width="12" style="76" customWidth="1"/>
    <col min="19" max="19" width="58.7109375" style="72" customWidth="1"/>
    <col min="85" max="16384" width="8.85546875" style="65"/>
  </cols>
  <sheetData>
    <row r="1" spans="1:19" customFormat="1" ht="23.25">
      <c r="A1" s="60" t="s">
        <v>22</v>
      </c>
      <c r="B1" s="60"/>
      <c r="C1" s="61"/>
      <c r="D1" s="61"/>
      <c r="E1" s="61"/>
      <c r="F1" s="62"/>
      <c r="G1" s="62"/>
      <c r="H1" s="62"/>
      <c r="I1" s="62"/>
      <c r="J1" s="63"/>
      <c r="K1" s="167" t="str">
        <f>'Data (Master Table)'!W3</f>
        <v>Financial Stability</v>
      </c>
      <c r="L1" s="167"/>
      <c r="M1" s="167"/>
      <c r="N1" s="167"/>
      <c r="O1" s="167"/>
      <c r="P1" s="167"/>
      <c r="Q1" s="167"/>
      <c r="R1" s="167"/>
      <c r="S1" s="167"/>
    </row>
    <row r="2" spans="1:19" s="64" customFormat="1" ht="62.25" customHeight="1">
      <c r="A2" s="117" t="str">
        <f>'Data (Master Table)'!C2</f>
        <v>IS
VALID</v>
      </c>
      <c r="B2" s="117" t="str">
        <f>'Data (Master Table)'!D2</f>
        <v>SMART Outcome</v>
      </c>
      <c r="C2" s="117" t="str">
        <f>'Data (Master Table)'!E2</f>
        <v>Benefit</v>
      </c>
      <c r="D2" s="117" t="str">
        <f>'Data (Master Table)'!F2</f>
        <v>Starting Point / Baseline</v>
      </c>
      <c r="E2" s="117" t="str">
        <f>'Data (Master Table)'!G2</f>
        <v>Department</v>
      </c>
      <c r="F2" s="117" t="str">
        <f>'Data (Master Table)'!H2</f>
        <v>Reported to OPEX</v>
      </c>
      <c r="G2" s="117" t="str">
        <f>'Data (Master Table)'!I2</f>
        <v>Responsible Person</v>
      </c>
      <c r="H2" s="117" t="str">
        <f>'Data (Master Table)'!J2</f>
        <v>Risk Level</v>
      </c>
      <c r="I2" s="117" t="str">
        <f>'Data (Master Table)'!K2</f>
        <v>Risk if Not Achieved</v>
      </c>
      <c r="J2" s="118" t="str">
        <f>'Data (Master Table)'!L2</f>
        <v>Target Date</v>
      </c>
      <c r="K2" s="118" t="str">
        <f>'Data (Master Table)'!M2</f>
        <v>Specific Desired Outcome</v>
      </c>
      <c r="L2" s="119" t="str">
        <f>'Data (Master Table)'!N2</f>
        <v>Milestone Count</v>
      </c>
      <c r="M2" s="118" t="str">
        <f>'Data (Master Table)'!O2</f>
        <v>Milestone/s</v>
      </c>
      <c r="N2" s="118" t="str">
        <f>'Data (Master Table)'!P2</f>
        <v>Milestone/s Date</v>
      </c>
      <c r="O2" s="118" t="str">
        <f>'Data (Master Table)'!Q2</f>
        <v>Actions</v>
      </c>
      <c r="P2" s="118" t="str">
        <f>'Data (Master Table)'!R2</f>
        <v>Status</v>
      </c>
      <c r="Q2" s="118" t="str">
        <f>'Data (Master Table)'!S2</f>
        <v>Reason for Delay</v>
      </c>
      <c r="R2" s="120" t="str">
        <f>'Data (Master Table)'!T2</f>
        <v>Complete %</v>
      </c>
      <c r="S2" s="118" t="str">
        <f>'Data (Master Table)'!U2</f>
        <v>Notes</v>
      </c>
    </row>
    <row r="3" spans="1:19" ht="153.75" customHeight="1">
      <c r="A3" s="58" t="str">
        <f>IF('Data (Master Table)'!$B3 = $K$1, 'Data (Master Table)'!C3, "")</f>
        <v>YES</v>
      </c>
      <c r="B3" s="58" t="str">
        <f>IF('Data (Master Table)'!$B3 = $K$1, 'Data (Master Table)'!D3, "")</f>
        <v>Establish diversified, sustainable income streams</v>
      </c>
      <c r="C3" s="58" t="str">
        <f>IF('Data (Master Table)'!$B3 = $K$1, 'Data (Master Table)'!E3, "")</f>
        <v>Service provision, significant income stream to be invested in Waqf</v>
      </c>
      <c r="D3" s="58" t="str">
        <f>IF('Data (Master Table)'!$B3 = $K$1, 'Data (Master Table)'!F3, "")</f>
        <v>Donation-dependent operations; limited reserves; no diversified income operational yet. Soft launch of TFS complete</v>
      </c>
      <c r="E3" s="58" t="str">
        <f>IF('Data (Master Table)'!$B3 = $K$1, 'Data (Master Table)'!G3, "")</f>
        <v>Safa Holdings / Finance</v>
      </c>
      <c r="F3" s="58" t="str">
        <f>IF('Data (Master Table)'!$B3 = $K$1, 'Data (Master Table)'!H3, "")</f>
        <v>End of March End of June End of Sept</v>
      </c>
      <c r="G3" s="58" t="str">
        <f>IF('Data (Master Table)'!$B3 = $K$1, 'Data (Master Table)'!I3, "")</f>
        <v>Shaffiq</v>
      </c>
      <c r="H3" s="58" t="str">
        <f>IF('Data (Master Table)'!$B3 = $K$1, 'Data (Master Table)'!J3, "")</f>
        <v>Medium</v>
      </c>
      <c r="I3" s="58" t="str">
        <f>IF('Data (Master Table)'!$B3 = $K$1, 'Data (Master Table)'!K3, "")</f>
        <v>High</v>
      </c>
      <c r="J3" s="59">
        <f>IF('Data (Master Table)'!$B3 = $K$1, 'Data (Master Table)'!L3, "")</f>
        <v>46081</v>
      </c>
      <c r="K3" s="66" t="s">
        <v>23</v>
      </c>
      <c r="L3" s="67">
        <v>3</v>
      </c>
      <c r="M3" s="68" t="s">
        <v>24</v>
      </c>
      <c r="N3" s="69" t="s">
        <v>25</v>
      </c>
      <c r="O3" s="66" t="s">
        <v>26</v>
      </c>
      <c r="P3" s="66" t="s">
        <v>27</v>
      </c>
      <c r="Q3" s="66"/>
      <c r="R3" s="70">
        <v>1</v>
      </c>
      <c r="S3" s="66" t="s">
        <v>28</v>
      </c>
    </row>
    <row r="4" spans="1:19" ht="68.25">
      <c r="A4" s="58" t="str">
        <f>IF('Data (Master Table)'!$B4 = $K$1, 'Data (Master Table)'!C4, "")</f>
        <v>YES</v>
      </c>
      <c r="B4" s="58" t="str">
        <f>IF('Data (Master Table)'!$B4 = $K$1, 'Data (Master Table)'!D4, "")</f>
        <v>Establish diversified, sustainable income streams</v>
      </c>
      <c r="C4" s="58" t="str">
        <f>IF('Data (Master Table)'!$B4 = $K$1, 'Data (Master Table)'!E4, "")</f>
        <v>Service provision, recurring advertising revenue + partnerships</v>
      </c>
      <c r="D4" s="58" t="str">
        <f>IF('Data (Master Table)'!$B4 = $K$1, 'Data (Master Table)'!F4, "")</f>
        <v>Donation-dependent operations; limited reserves; no diversified income operational yet. Idea and website ready for Business Directory</v>
      </c>
      <c r="E4" s="58" t="str">
        <f>IF('Data (Master Table)'!$B4 = $K$1, 'Data (Master Table)'!G4, "")</f>
        <v>Safa Holdings / Finance</v>
      </c>
      <c r="F4" s="58" t="str">
        <f>IF('Data (Master Table)'!$B4 = $K$1, 'Data (Master Table)'!H4, "")</f>
        <v>End of March End of June End of Sept</v>
      </c>
      <c r="G4" s="58" t="s">
        <v>29</v>
      </c>
      <c r="H4" s="58" t="str">
        <f>IF('Data (Master Table)'!$B4 = $K$1, 'Data (Master Table)'!J4, "")</f>
        <v>Medium</v>
      </c>
      <c r="I4" s="58" t="str">
        <f>IF('Data (Master Table)'!$B4 = $K$1, 'Data (Master Table)'!K4, "")</f>
        <v>Medium</v>
      </c>
      <c r="J4" s="59">
        <f>IF('Data (Master Table)'!$B4 = $K$1, 'Data (Master Table)'!L4, "")</f>
        <v>46112</v>
      </c>
      <c r="K4" s="66" t="s">
        <v>30</v>
      </c>
      <c r="L4" s="67">
        <v>1</v>
      </c>
      <c r="M4" s="68" t="s">
        <v>31</v>
      </c>
      <c r="N4" s="159">
        <v>46142</v>
      </c>
      <c r="O4" s="66" t="s">
        <v>32</v>
      </c>
      <c r="P4" s="66" t="s">
        <v>33</v>
      </c>
      <c r="Q4" s="66"/>
      <c r="R4" s="70">
        <v>0.9</v>
      </c>
      <c r="S4" s="66" t="s">
        <v>34</v>
      </c>
    </row>
    <row r="5" spans="1:19" ht="118.5" customHeight="1">
      <c r="A5" s="58" t="str">
        <f>IF('Data (Master Table)'!$B5 = $K$1, 'Data (Master Table)'!C5, "")</f>
        <v>NO</v>
      </c>
      <c r="B5" s="58" t="str">
        <f>IF('Data (Master Table)'!$B5 = $K$1, 'Data (Master Table)'!D5, "")</f>
        <v>Grow current Waqf capital by £60,000 by Sept 2026</v>
      </c>
      <c r="C5" s="58" t="str">
        <f>IF('Data (Master Table)'!$B5 = $K$1, 'Data (Master Table)'!E5, "")</f>
        <v>Perpetual income for AEC</v>
      </c>
      <c r="D5" s="58" t="str">
        <f>IF('Data (Master Table)'!$B5 = $K$1, 'Data (Master Table)'!F5, "")</f>
        <v>Donation-dependent operations; limited reserves; no diversified income operational yet. Curently contains £75k</v>
      </c>
      <c r="E5" s="58" t="str">
        <f>IF('Data (Master Table)'!$B5 = $K$1, 'Data (Master Table)'!G5, "")</f>
        <v>Finance</v>
      </c>
      <c r="F5" s="58" t="str">
        <f>IF('Data (Master Table)'!$B5 = $K$1, 'Data (Master Table)'!H5, "")</f>
        <v>End of March End of June End of Sept</v>
      </c>
      <c r="G5" s="58" t="str">
        <f>IF('Data (Master Table)'!$B5 = $K$1, 'Data (Master Table)'!I5, "")</f>
        <v>Raja / Kamraan</v>
      </c>
      <c r="H5" s="58" t="str">
        <f>IF('Data (Master Table)'!$B5 = $K$1, 'Data (Master Table)'!J5, "")</f>
        <v>Low</v>
      </c>
      <c r="I5" s="58" t="str">
        <f>IF('Data (Master Table)'!$B5 = $K$1, 'Data (Master Table)'!K5, "")</f>
        <v>High</v>
      </c>
      <c r="J5" s="59">
        <f>IF('Data (Master Table)'!$B5 = $K$1, 'Data (Master Table)'!L5, "")</f>
        <v>46203</v>
      </c>
      <c r="K5" s="66" t="s">
        <v>35</v>
      </c>
      <c r="L5" s="67">
        <v>0</v>
      </c>
      <c r="M5" s="68" t="s">
        <v>36</v>
      </c>
      <c r="N5" s="68" t="s">
        <v>37</v>
      </c>
      <c r="O5" s="66" t="s">
        <v>38</v>
      </c>
      <c r="P5" s="66" t="s">
        <v>33</v>
      </c>
      <c r="Q5" s="66" t="s">
        <v>39</v>
      </c>
      <c r="R5" s="70"/>
      <c r="S5" s="66" t="s">
        <v>40</v>
      </c>
    </row>
    <row r="6" spans="1:19" ht="68.25">
      <c r="A6" s="58" t="str">
        <f>IF('Data (Master Table)'!$B6 = $K$1, 'Data (Master Table)'!C6, "")</f>
        <v>YES</v>
      </c>
      <c r="B6" s="58" t="str">
        <f>IF('Data (Master Table)'!$B6 = $K$1, 'Data (Master Table)'!D6, "")</f>
        <v>Grow Waqf capital to £200,000 by Sept  2026</v>
      </c>
      <c r="C6" s="58" t="str">
        <f>IF('Data (Master Table)'!$B6 = $K$1, 'Data (Master Table)'!E6, "")</f>
        <v>Step-change in waqf investment amount</v>
      </c>
      <c r="D6" s="58" t="str">
        <f>IF('Data (Master Table)'!$B6 = $K$1, 'Data (Master Table)'!F6, "")</f>
        <v>Donation-dependent operations; limited reserves; no diversified income operational yet. Curently contains £75k (+£60k Ramadhan iA)</v>
      </c>
      <c r="E6" s="58" t="str">
        <f>IF('Data (Master Table)'!$B6 = $K$1, 'Data (Master Table)'!G6, "")</f>
        <v>Exec</v>
      </c>
      <c r="F6" s="58" t="str">
        <f>IF('Data (Master Table)'!$B6 = $K$1, 'Data (Master Table)'!H6, "")</f>
        <v>End of March End of June End of Sept</v>
      </c>
      <c r="G6" s="58" t="str">
        <f>IF('Data (Master Table)'!$B6 = $K$1, 'Data (Master Table)'!I6, "")</f>
        <v>Shaffiq</v>
      </c>
      <c r="H6" s="58" t="str">
        <f>IF('Data (Master Table)'!$B6 = $K$1, 'Data (Master Table)'!J6, "")</f>
        <v>Medium</v>
      </c>
      <c r="I6" s="58" t="str">
        <f>IF('Data (Master Table)'!$B6 = $K$1, 'Data (Master Table)'!K6, "")</f>
        <v>High</v>
      </c>
      <c r="J6" s="59">
        <f>IF('Data (Master Table)'!$B6 = $K$1, 'Data (Master Table)'!L6, "")</f>
        <v>46295</v>
      </c>
      <c r="K6" s="66" t="s">
        <v>41</v>
      </c>
      <c r="L6" s="67">
        <v>1</v>
      </c>
      <c r="M6" s="68" t="s">
        <v>42</v>
      </c>
      <c r="N6" s="69">
        <v>46266</v>
      </c>
      <c r="O6" s="66" t="s">
        <v>43</v>
      </c>
      <c r="P6" s="66" t="s">
        <v>33</v>
      </c>
      <c r="Q6" s="66"/>
      <c r="R6" s="70">
        <v>0.7</v>
      </c>
      <c r="S6" s="66"/>
    </row>
    <row r="7" spans="1:19" ht="54.75">
      <c r="A7" s="58" t="str">
        <f>IF('Data (Master Table)'!$B7 = $K$1, 'Data (Master Table)'!C7, "")</f>
        <v>YES</v>
      </c>
      <c r="B7" s="58" t="str">
        <f>IF('Data (Master Table)'!$B7 = $K$1, 'Data (Master Table)'!D7, "")</f>
        <v>Achieve net-positive operating balance by Sept 2026</v>
      </c>
      <c r="C7" s="58" t="str">
        <f>IF('Data (Master Table)'!$B7 = $K$1, 'Data (Master Table)'!E7, "")</f>
        <v>Operational transparency +  sustainability</v>
      </c>
      <c r="D7" s="58" t="str">
        <f>IF('Data (Master Table)'!$B7 = $K$1, 'Data (Master Table)'!F7, "")</f>
        <v>Donation-dependent operations; limited reserves; no diversified income operational yet</v>
      </c>
      <c r="E7" s="58" t="str">
        <f>IF('Data (Master Table)'!$B7 = $K$1, 'Data (Master Table)'!G7, "")</f>
        <v>Finance</v>
      </c>
      <c r="F7" s="58" t="str">
        <f>IF('Data (Master Table)'!$B7 = $K$1, 'Data (Master Table)'!H7, "")</f>
        <v>End of March End of June End of Sept</v>
      </c>
      <c r="G7" s="58" t="str">
        <f>IF('Data (Master Table)'!$B7 = $K$1, 'Data (Master Table)'!I7, "")</f>
        <v>Behzat / Raja / Kamraan</v>
      </c>
      <c r="H7" s="58" t="str">
        <f>IF('Data (Master Table)'!$B7 = $K$1, 'Data (Master Table)'!J7, "")</f>
        <v>Low</v>
      </c>
      <c r="I7" s="58" t="str">
        <f>IF('Data (Master Table)'!$B7 = $K$1, 'Data (Master Table)'!K7, "")</f>
        <v>Medium</v>
      </c>
      <c r="J7" s="59">
        <f>IF('Data (Master Table)'!$B7 = $K$1, 'Data (Master Table)'!L7, "")</f>
        <v>46295</v>
      </c>
      <c r="K7" s="66" t="s">
        <v>44</v>
      </c>
      <c r="L7" s="67">
        <v>1</v>
      </c>
      <c r="M7" s="68" t="s">
        <v>45</v>
      </c>
      <c r="N7" s="69">
        <v>46266</v>
      </c>
      <c r="O7" s="66" t="s">
        <v>46</v>
      </c>
      <c r="P7" s="66" t="s">
        <v>33</v>
      </c>
      <c r="Q7" s="66"/>
      <c r="R7" s="70">
        <v>0</v>
      </c>
      <c r="S7" s="66"/>
    </row>
    <row r="8" spans="1:19">
      <c r="A8" s="58" t="str">
        <f>IF('Data (Master Table)'!$B8 = $K$1, 'Data (Master Table)'!C8, "")</f>
        <v/>
      </c>
      <c r="B8" s="58" t="str">
        <f>IF('Data (Master Table)'!$B8 = $K$1, 'Data (Master Table)'!D8, "")</f>
        <v/>
      </c>
      <c r="C8" s="58" t="str">
        <f>IF('Data (Master Table)'!$B8 = $K$1, 'Data (Master Table)'!E8, "")</f>
        <v/>
      </c>
      <c r="D8" s="58" t="str">
        <f>IF('Data (Master Table)'!$B8 = $K$1, 'Data (Master Table)'!F8, "")</f>
        <v/>
      </c>
      <c r="E8" s="58" t="str">
        <f>IF('Data (Master Table)'!$B8 = $K$1, 'Data (Master Table)'!G8, "")</f>
        <v/>
      </c>
      <c r="F8" s="58" t="str">
        <f>IF('Data (Master Table)'!$B8 = $K$1, 'Data (Master Table)'!H8, "")</f>
        <v/>
      </c>
      <c r="G8" s="58" t="str">
        <f>IF('Data (Master Table)'!$B8 = $K$1, 'Data (Master Table)'!I8, "")</f>
        <v/>
      </c>
      <c r="H8" s="58" t="str">
        <f>IF('Data (Master Table)'!$B8 = $K$1, 'Data (Master Table)'!J8, "")</f>
        <v/>
      </c>
      <c r="I8" s="58" t="str">
        <f>IF('Data (Master Table)'!$B8 = $K$1, 'Data (Master Table)'!K8, "")</f>
        <v/>
      </c>
      <c r="J8" s="59" t="str">
        <f>IF('Data (Master Table)'!$B8 = $K$1, 'Data (Master Table)'!L8, "")</f>
        <v/>
      </c>
      <c r="K8" s="71"/>
      <c r="L8" s="67"/>
      <c r="M8" s="68"/>
      <c r="N8" s="68"/>
      <c r="O8" s="68"/>
      <c r="P8" s="66"/>
      <c r="Q8" s="66"/>
      <c r="R8" s="70"/>
      <c r="S8" s="66"/>
    </row>
    <row r="9" spans="1:19">
      <c r="A9" s="58" t="str">
        <f>IF('Data (Master Table)'!$B9 = $K$1, 'Data (Master Table)'!C9, "")</f>
        <v/>
      </c>
      <c r="B9" s="58" t="str">
        <f>IF('Data (Master Table)'!$B9 = $K$1, 'Data (Master Table)'!D9, "")</f>
        <v/>
      </c>
      <c r="C9" s="58" t="str">
        <f>IF('Data (Master Table)'!$B9 = $K$1, 'Data (Master Table)'!E9, "")</f>
        <v/>
      </c>
      <c r="D9" s="58" t="str">
        <f>IF('Data (Master Table)'!$B9 = $K$1, 'Data (Master Table)'!F9, "")</f>
        <v/>
      </c>
      <c r="E9" s="58" t="str">
        <f>IF('Data (Master Table)'!$B9 = $K$1, 'Data (Master Table)'!G9, "")</f>
        <v/>
      </c>
      <c r="F9" s="58" t="str">
        <f>IF('Data (Master Table)'!$B9 = $K$1, 'Data (Master Table)'!H9, "")</f>
        <v/>
      </c>
      <c r="G9" s="58" t="str">
        <f>IF('Data (Master Table)'!$B9 = $K$1, 'Data (Master Table)'!I9, "")</f>
        <v/>
      </c>
      <c r="H9" s="58" t="str">
        <f>IF('Data (Master Table)'!$B9 = $K$1, 'Data (Master Table)'!J9, "")</f>
        <v/>
      </c>
      <c r="I9" s="58" t="str">
        <f>IF('Data (Master Table)'!$B9 = $K$1, 'Data (Master Table)'!K9, "")</f>
        <v/>
      </c>
      <c r="J9" s="59" t="str">
        <f>IF('Data (Master Table)'!$B9 = $K$1, 'Data (Master Table)'!L9, "")</f>
        <v/>
      </c>
      <c r="K9" s="71"/>
      <c r="L9" s="67"/>
      <c r="M9" s="68"/>
      <c r="N9" s="68"/>
      <c r="O9" s="68"/>
      <c r="P9" s="66"/>
      <c r="Q9" s="66"/>
      <c r="R9" s="70"/>
      <c r="S9" s="66"/>
    </row>
    <row r="10" spans="1:19">
      <c r="A10" s="58" t="str">
        <f>IF('Data (Master Table)'!$B10 = $K$1, 'Data (Master Table)'!C10, "")</f>
        <v/>
      </c>
      <c r="B10" s="58" t="str">
        <f>IF('Data (Master Table)'!$B10 = $K$1, 'Data (Master Table)'!D10, "")</f>
        <v/>
      </c>
      <c r="C10" s="58" t="str">
        <f>IF('Data (Master Table)'!$B10 = $K$1, 'Data (Master Table)'!E10, "")</f>
        <v/>
      </c>
      <c r="D10" s="58" t="str">
        <f>IF('Data (Master Table)'!$B10 = $K$1, 'Data (Master Table)'!F10, "")</f>
        <v/>
      </c>
      <c r="E10" s="58" t="str">
        <f>IF('Data (Master Table)'!$B10 = $K$1, 'Data (Master Table)'!G10, "")</f>
        <v/>
      </c>
      <c r="F10" s="58" t="str">
        <f>IF('Data (Master Table)'!$B10 = $K$1, 'Data (Master Table)'!H10, "")</f>
        <v/>
      </c>
      <c r="G10" s="58" t="str">
        <f>IF('Data (Master Table)'!$B10 = $K$1, 'Data (Master Table)'!I10, "")</f>
        <v/>
      </c>
      <c r="H10" s="58" t="str">
        <f>IF('Data (Master Table)'!$B10 = $K$1, 'Data (Master Table)'!J10, "")</f>
        <v/>
      </c>
      <c r="I10" s="58" t="str">
        <f>IF('Data (Master Table)'!$B10 = $K$1, 'Data (Master Table)'!K10, "")</f>
        <v/>
      </c>
      <c r="J10" s="59" t="str">
        <f>IF('Data (Master Table)'!$B10 = $K$1, 'Data (Master Table)'!L10, "")</f>
        <v/>
      </c>
      <c r="K10" s="71"/>
      <c r="L10" s="67"/>
      <c r="M10" s="68"/>
      <c r="N10" s="68"/>
      <c r="O10" s="68"/>
      <c r="P10" s="66"/>
      <c r="Q10" s="66"/>
      <c r="R10" s="70"/>
      <c r="S10" s="66"/>
    </row>
    <row r="11" spans="1:19">
      <c r="A11" s="58" t="str">
        <f>IF('Data (Master Table)'!$B11 = $K$1, 'Data (Master Table)'!C11, "")</f>
        <v/>
      </c>
      <c r="B11" s="58" t="str">
        <f>IF('Data (Master Table)'!$B11 = $K$1, 'Data (Master Table)'!D11, "")</f>
        <v/>
      </c>
      <c r="C11" s="58" t="str">
        <f>IF('Data (Master Table)'!$B11 = $K$1, 'Data (Master Table)'!E11, "")</f>
        <v/>
      </c>
      <c r="D11" s="58" t="str">
        <f>IF('Data (Master Table)'!$B11 = $K$1, 'Data (Master Table)'!F11, "")</f>
        <v/>
      </c>
      <c r="E11" s="58" t="str">
        <f>IF('Data (Master Table)'!$B11 = $K$1, 'Data (Master Table)'!G11, "")</f>
        <v/>
      </c>
      <c r="F11" s="58" t="str">
        <f>IF('Data (Master Table)'!$B11 = $K$1, 'Data (Master Table)'!H11, "")</f>
        <v/>
      </c>
      <c r="G11" s="58" t="str">
        <f>IF('Data (Master Table)'!$B11 = $K$1, 'Data (Master Table)'!I11, "")</f>
        <v/>
      </c>
      <c r="H11" s="58" t="str">
        <f>IF('Data (Master Table)'!$B11 = $K$1, 'Data (Master Table)'!J11, "")</f>
        <v/>
      </c>
      <c r="I11" s="58" t="str">
        <f>IF('Data (Master Table)'!$B11 = $K$1, 'Data (Master Table)'!K11, "")</f>
        <v/>
      </c>
      <c r="J11" s="59" t="str">
        <f>IF('Data (Master Table)'!$B11 = $K$1, 'Data (Master Table)'!L11, "")</f>
        <v/>
      </c>
      <c r="K11" s="71"/>
      <c r="L11" s="67"/>
      <c r="M11" s="68"/>
      <c r="N11" s="68"/>
      <c r="O11" s="68"/>
      <c r="P11" s="66"/>
      <c r="Q11" s="66"/>
      <c r="R11" s="70"/>
      <c r="S11" s="66"/>
    </row>
    <row r="12" spans="1:19">
      <c r="A12" s="58" t="str">
        <f>IF('Data (Master Table)'!$B12 = $K$1, 'Data (Master Table)'!C12, "")</f>
        <v/>
      </c>
      <c r="B12" s="58" t="str">
        <f>IF('Data (Master Table)'!$B12 = $K$1, 'Data (Master Table)'!D12, "")</f>
        <v/>
      </c>
      <c r="C12" s="58" t="str">
        <f>IF('Data (Master Table)'!$B12 = $K$1, 'Data (Master Table)'!E12, "")</f>
        <v/>
      </c>
      <c r="D12" s="58" t="str">
        <f>IF('Data (Master Table)'!$B12 = $K$1, 'Data (Master Table)'!F12, "")</f>
        <v/>
      </c>
      <c r="E12" s="58" t="str">
        <f>IF('Data (Master Table)'!$B12 = $K$1, 'Data (Master Table)'!G12, "")</f>
        <v/>
      </c>
      <c r="F12" s="58" t="str">
        <f>IF('Data (Master Table)'!$B12 = $K$1, 'Data (Master Table)'!H12, "")</f>
        <v/>
      </c>
      <c r="G12" s="58" t="str">
        <f>IF('Data (Master Table)'!$B12 = $K$1, 'Data (Master Table)'!I12, "")</f>
        <v/>
      </c>
      <c r="H12" s="58" t="str">
        <f>IF('Data (Master Table)'!$B12 = $K$1, 'Data (Master Table)'!J12, "")</f>
        <v/>
      </c>
      <c r="I12" s="58" t="str">
        <f>IF('Data (Master Table)'!$B12 = $K$1, 'Data (Master Table)'!K12, "")</f>
        <v/>
      </c>
      <c r="J12" s="59" t="str">
        <f>IF('Data (Master Table)'!$B12 = $K$1, 'Data (Master Table)'!L12, "")</f>
        <v/>
      </c>
      <c r="K12" s="71"/>
      <c r="L12" s="67"/>
      <c r="M12" s="68"/>
      <c r="N12" s="102"/>
      <c r="O12" s="102"/>
      <c r="P12" s="103"/>
      <c r="Q12" s="66"/>
      <c r="R12" s="104"/>
      <c r="S12" s="66"/>
    </row>
    <row r="13" spans="1:19">
      <c r="A13" s="58" t="str">
        <f>IF('Data (Master Table)'!$B13 = $K$1, 'Data (Master Table)'!C13, "")</f>
        <v/>
      </c>
      <c r="B13" s="58" t="str">
        <f>IF('Data (Master Table)'!$B13 = $K$1, 'Data (Master Table)'!D13, "")</f>
        <v/>
      </c>
      <c r="C13" s="58" t="str">
        <f>IF('Data (Master Table)'!$B13 = $K$1, 'Data (Master Table)'!E13, "")</f>
        <v/>
      </c>
      <c r="D13" s="58" t="str">
        <f>IF('Data (Master Table)'!$B13 = $K$1, 'Data (Master Table)'!F13, "")</f>
        <v/>
      </c>
      <c r="E13" s="58" t="str">
        <f>IF('Data (Master Table)'!$B13 = $K$1, 'Data (Master Table)'!G13, "")</f>
        <v/>
      </c>
      <c r="F13" s="58" t="str">
        <f>IF('Data (Master Table)'!$B13 = $K$1, 'Data (Master Table)'!H13, "")</f>
        <v/>
      </c>
      <c r="G13" s="58" t="str">
        <f>IF('Data (Master Table)'!$B13 = $K$1, 'Data (Master Table)'!I13, "")</f>
        <v/>
      </c>
      <c r="H13" s="58" t="str">
        <f>IF('Data (Master Table)'!$B13 = $K$1, 'Data (Master Table)'!J13, "")</f>
        <v/>
      </c>
      <c r="I13" s="58" t="str">
        <f>IF('Data (Master Table)'!$B13 = $K$1, 'Data (Master Table)'!K13, "")</f>
        <v/>
      </c>
      <c r="J13" s="59" t="str">
        <f>IF('Data (Master Table)'!$B13 = $K$1, 'Data (Master Table)'!L13, "")</f>
        <v/>
      </c>
      <c r="K13" s="71"/>
      <c r="L13" s="67"/>
      <c r="M13" s="68"/>
      <c r="N13" s="102"/>
      <c r="O13" s="102"/>
      <c r="P13" s="103"/>
      <c r="Q13" s="66"/>
      <c r="R13" s="104"/>
      <c r="S13" s="66"/>
    </row>
    <row r="14" spans="1:19">
      <c r="A14" s="58" t="str">
        <f>IF('Data (Master Table)'!$B14 = $K$1, 'Data (Master Table)'!C14, "")</f>
        <v/>
      </c>
      <c r="B14" s="58" t="str">
        <f>IF('Data (Master Table)'!$B14 = $K$1, 'Data (Master Table)'!D14, "")</f>
        <v/>
      </c>
      <c r="C14" s="58" t="str">
        <f>IF('Data (Master Table)'!$B14 = $K$1, 'Data (Master Table)'!E14, "")</f>
        <v/>
      </c>
      <c r="D14" s="58" t="str">
        <f>IF('Data (Master Table)'!$B14 = $K$1, 'Data (Master Table)'!F14, "")</f>
        <v/>
      </c>
      <c r="E14" s="58" t="str">
        <f>IF('Data (Master Table)'!$B14 = $K$1, 'Data (Master Table)'!G14, "")</f>
        <v/>
      </c>
      <c r="F14" s="58" t="str">
        <f>IF('Data (Master Table)'!$B14 = $K$1, 'Data (Master Table)'!H14, "")</f>
        <v/>
      </c>
      <c r="G14" s="58" t="str">
        <f>IF('Data (Master Table)'!$B14 = $K$1, 'Data (Master Table)'!I14, "")</f>
        <v/>
      </c>
      <c r="H14" s="58" t="str">
        <f>IF('Data (Master Table)'!$B14 = $K$1, 'Data (Master Table)'!J14, "")</f>
        <v/>
      </c>
      <c r="I14" s="58" t="str">
        <f>IF('Data (Master Table)'!$B14 = $K$1, 'Data (Master Table)'!K14, "")</f>
        <v/>
      </c>
      <c r="J14" s="59" t="str">
        <f>IF('Data (Master Table)'!$B14 = $K$1, 'Data (Master Table)'!L14, "")</f>
        <v/>
      </c>
      <c r="K14" s="71"/>
      <c r="L14" s="67"/>
      <c r="M14" s="68"/>
      <c r="N14" s="102"/>
      <c r="O14" s="102"/>
      <c r="P14" s="103"/>
      <c r="Q14" s="66"/>
      <c r="R14" s="104"/>
      <c r="S14" s="66"/>
    </row>
    <row r="15" spans="1:19">
      <c r="A15" s="58" t="str">
        <f>IF('Data (Master Table)'!$B15 = $K$1, 'Data (Master Table)'!C15, "")</f>
        <v/>
      </c>
      <c r="B15" s="58" t="str">
        <f>IF('Data (Master Table)'!$B15 = $K$1, 'Data (Master Table)'!D15, "")</f>
        <v/>
      </c>
      <c r="C15" s="58" t="str">
        <f>IF('Data (Master Table)'!$B15 = $K$1, 'Data (Master Table)'!E15, "")</f>
        <v/>
      </c>
      <c r="D15" s="58" t="str">
        <f>IF('Data (Master Table)'!$B15 = $K$1, 'Data (Master Table)'!F15, "")</f>
        <v/>
      </c>
      <c r="E15" s="58" t="str">
        <f>IF('Data (Master Table)'!$B15 = $K$1, 'Data (Master Table)'!G15, "")</f>
        <v/>
      </c>
      <c r="F15" s="58" t="str">
        <f>IF('Data (Master Table)'!$B15 = $K$1, 'Data (Master Table)'!H15, "")</f>
        <v/>
      </c>
      <c r="G15" s="58" t="str">
        <f>IF('Data (Master Table)'!$B15 = $K$1, 'Data (Master Table)'!I15, "")</f>
        <v/>
      </c>
      <c r="H15" s="58" t="str">
        <f>IF('Data (Master Table)'!$B15 = $K$1, 'Data (Master Table)'!J15, "")</f>
        <v/>
      </c>
      <c r="I15" s="58" t="str">
        <f>IF('Data (Master Table)'!$B15 = $K$1, 'Data (Master Table)'!K15, "")</f>
        <v/>
      </c>
      <c r="J15" s="59" t="str">
        <f>IF('Data (Master Table)'!$B15 = $K$1, 'Data (Master Table)'!L15, "")</f>
        <v/>
      </c>
      <c r="K15" s="71"/>
      <c r="L15" s="67"/>
      <c r="M15" s="68"/>
      <c r="N15" s="102"/>
      <c r="O15" s="102"/>
      <c r="P15" s="103"/>
      <c r="Q15" s="66"/>
      <c r="R15" s="104"/>
      <c r="S15" s="66"/>
    </row>
    <row r="16" spans="1:19">
      <c r="A16" s="58" t="str">
        <f>IF('Data (Master Table)'!$B16 = $K$1, 'Data (Master Table)'!C16, "")</f>
        <v/>
      </c>
      <c r="B16" s="58" t="str">
        <f>IF('Data (Master Table)'!$B16 = $K$1, 'Data (Master Table)'!D16, "")</f>
        <v/>
      </c>
      <c r="C16" s="58" t="str">
        <f>IF('Data (Master Table)'!$B16 = $K$1, 'Data (Master Table)'!E16, "")</f>
        <v/>
      </c>
      <c r="D16" s="58" t="str">
        <f>IF('Data (Master Table)'!$B16 = $K$1, 'Data (Master Table)'!F16, "")</f>
        <v/>
      </c>
      <c r="E16" s="58" t="str">
        <f>IF('Data (Master Table)'!$B16 = $K$1, 'Data (Master Table)'!G16, "")</f>
        <v/>
      </c>
      <c r="F16" s="58" t="str">
        <f>IF('Data (Master Table)'!$B16 = $K$1, 'Data (Master Table)'!H16, "")</f>
        <v/>
      </c>
      <c r="G16" s="58" t="str">
        <f>IF('Data (Master Table)'!$B16 = $K$1, 'Data (Master Table)'!I16, "")</f>
        <v/>
      </c>
      <c r="H16" s="58" t="str">
        <f>IF('Data (Master Table)'!$B16 = $K$1, 'Data (Master Table)'!J16, "")</f>
        <v/>
      </c>
      <c r="I16" s="58" t="str">
        <f>IF('Data (Master Table)'!$B16 = $K$1, 'Data (Master Table)'!K16, "")</f>
        <v/>
      </c>
      <c r="J16" s="59" t="str">
        <f>IF('Data (Master Table)'!$B16 = $K$1, 'Data (Master Table)'!L16, "")</f>
        <v/>
      </c>
      <c r="K16" s="71"/>
      <c r="L16" s="67"/>
      <c r="M16" s="68"/>
      <c r="N16" s="102"/>
      <c r="O16" s="102"/>
      <c r="P16" s="103"/>
      <c r="Q16" s="66"/>
      <c r="R16" s="104"/>
      <c r="S16" s="66"/>
    </row>
  </sheetData>
  <sheetProtection sheet="1" objects="1" scenarios="1" formatCells="0" formatColumns="0" formatRows="0" insertColumns="0" insertRows="0" insertHyperlinks="0" sort="0" autoFilter="0" pivotTables="0"/>
  <mergeCells count="1">
    <mergeCell ref="K1:S1"/>
  </mergeCells>
  <conditionalFormatting sqref="A3:S16">
    <cfRule type="expression" dxfId="50" priority="1">
      <formula>$A3= "NO"</formula>
    </cfRule>
  </conditionalFormatting>
  <conditionalFormatting sqref="R1:R1048576">
    <cfRule type="colorScale" priority="9">
      <colorScale>
        <cfvo type="min"/>
        <cfvo type="percentile" val="50"/>
        <cfvo type="max"/>
        <color rgb="FFF8696B"/>
        <color rgb="FFFFEB84"/>
        <color rgb="FF63BE7B"/>
      </colorScale>
    </cfRule>
  </conditionalFormatting>
  <dataValidations count="2">
    <dataValidation type="list" allowBlank="1" showInputMessage="1" showErrorMessage="1" sqref="F186:J199" xr:uid="{00000000-0002-0000-0200-000001000000}">
      <formula1>"Low,Medium,High"</formula1>
    </dataValidation>
    <dataValidation allowBlank="1" showInputMessage="1" showErrorMessage="1" sqref="K1:O1048576 Q1:Q1048576" xr:uid="{7609AB55-6178-4033-A332-934F12A8BC4F}"/>
  </dataValidations>
  <pageMargins left="0.75" right="0.75" top="1" bottom="1" header="0.5" footer="0.5"/>
  <pageSetup paperSize="9" orientation="portrait" r:id="rId1"/>
  <ignoredErrors>
    <ignoredError sqref="B2:J3 S2 B5:J16 B4:F4 H4:J4" unlockedFormula="1"/>
  </ignoredErrors>
  <extLst>
    <ext xmlns:x14="http://schemas.microsoft.com/office/spreadsheetml/2009/9/main" uri="{78C0D931-6437-407d-A8EE-F0AAD7539E65}">
      <x14:conditionalFormattings>
        <x14:conditionalFormatting xmlns:xm="http://schemas.microsoft.com/office/excel/2006/main">
          <x14:cfRule type="cellIs" priority="2" stopIfTrue="1" operator="equal" id="{0A6582B4-F31C-C145-89BB-1396B5BE4D7E}">
            <xm:f>'Data (Master Table)'!$AC$5</xm:f>
            <x14:dxf>
              <font>
                <b/>
                <i val="0"/>
              </font>
              <fill>
                <patternFill>
                  <bgColor rgb="FF92D050"/>
                </patternFill>
              </fill>
            </x14:dxf>
          </x14:cfRule>
          <x14:cfRule type="cellIs" priority="3" operator="equal" id="{163911D4-F797-9040-8BBF-80B70A89B440}">
            <xm:f>'Data (Master Table)'!$AC$4</xm:f>
            <x14:dxf>
              <font>
                <b/>
                <i val="0"/>
              </font>
              <fill>
                <patternFill>
                  <bgColor rgb="FFFFC000"/>
                </patternFill>
              </fill>
            </x14:dxf>
          </x14:cfRule>
          <x14:cfRule type="cellIs" priority="4" operator="equal" id="{C54B335D-D539-264E-8784-C2B37471CF7C}">
            <xm:f>'Data (Master Table)'!$AC$3</xm:f>
            <x14:dxf>
              <font>
                <b/>
                <i val="0"/>
              </font>
              <fill>
                <patternFill>
                  <bgColor rgb="FFFF0000"/>
                </patternFill>
              </fill>
            </x14:dxf>
          </x14:cfRule>
          <xm:sqref>H1:I1048576</xm:sqref>
        </x14:conditionalFormatting>
        <x14:conditionalFormatting xmlns:xm="http://schemas.microsoft.com/office/excel/2006/main">
          <x14:cfRule type="cellIs" priority="5" operator="equal" id="{3C57646C-C4F8-7D45-9F3E-4F34E8F74790}">
            <xm:f>'Data (Master Table)'!$Y$6</xm:f>
            <x14:dxf>
              <fill>
                <patternFill>
                  <bgColor rgb="FFFFFF00"/>
                </patternFill>
              </fill>
            </x14:dxf>
          </x14:cfRule>
          <x14:cfRule type="cellIs" priority="6" operator="equal" id="{EEDA2F0F-D913-E24E-8222-B3E7ABA6075B}">
            <xm:f>'Data (Master Table)'!$Y$3</xm:f>
            <x14:dxf>
              <fill>
                <patternFill>
                  <bgColor theme="0" tint="-0.24994659260841701"/>
                </patternFill>
              </fill>
            </x14:dxf>
          </x14:cfRule>
          <x14:cfRule type="cellIs" priority="7" operator="equal" id="{DAD0EE06-49E5-394C-AEF0-B7F5436812FC}">
            <xm:f>'Data (Master Table)'!$Y$5</xm:f>
            <x14:dxf>
              <fill>
                <patternFill>
                  <bgColor rgb="FF92D050"/>
                </patternFill>
              </fill>
            </x14:dxf>
          </x14:cfRule>
          <x14:cfRule type="cellIs" priority="8" operator="equal" id="{3EFE8BC3-7071-0547-B15D-54D58F65C4AB}">
            <xm:f>'Data (Master Table)'!$Y$4</xm:f>
            <x14:dxf>
              <fill>
                <patternFill>
                  <bgColor theme="3" tint="0.59996337778862885"/>
                </patternFill>
              </fill>
            </x14:dxf>
          </x14:cfRule>
          <xm:sqref>P1:P1048576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636F82F1-DAAE-B049-AD7F-60CFBC2C7789}">
          <x14:formula1>
            <xm:f>'Data (Master Table)'!$Y$3:$Y$17</xm:f>
          </x14:formula1>
          <xm:sqref>P1 P3:P1048576</xm:sqref>
        </x14:dataValidation>
        <x14:dataValidation type="list" allowBlank="1" showInputMessage="1" showErrorMessage="1" xr:uid="{337AFEB1-1F87-A14B-B835-CD138261B9FC}">
          <x14:formula1>
            <xm:f>'Data (Master Table)'!$AA$3:$AA$13</xm:f>
          </x14:formula1>
          <xm:sqref>R1 R3:R1048576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032D-CF8D-1743-9AD9-D878CD89C905}">
  <sheetPr>
    <tabColor rgb="FFFFC000"/>
  </sheetPr>
  <dimension ref="A1:AR16"/>
  <sheetViews>
    <sheetView zoomScale="90" zoomScaleNormal="90" workbookViewId="0">
      <pane xSplit="10" ySplit="2" topLeftCell="K5" activePane="bottomRight" state="frozen"/>
      <selection pane="bottomRight" activeCell="K8" sqref="K8"/>
      <selection pane="bottomLeft" activeCell="A3" sqref="A3"/>
      <selection pane="topRight" activeCell="J1" sqref="J1"/>
    </sheetView>
  </sheetViews>
  <sheetFormatPr defaultColWidth="8.85546875" defaultRowHeight="15" customHeight="1"/>
  <cols>
    <col min="1" max="1" width="8.85546875" style="65"/>
    <col min="2" max="2" width="15" customWidth="1"/>
    <col min="3" max="3" width="15.140625" style="4" customWidth="1"/>
    <col min="4" max="4" width="27" style="4" customWidth="1"/>
    <col min="5" max="5" width="16.85546875" style="4" customWidth="1"/>
    <col min="6" max="6" width="13.42578125" customWidth="1"/>
    <col min="7" max="7" width="15.140625" customWidth="1"/>
    <col min="8" max="8" width="10.7109375" bestFit="1" customWidth="1"/>
    <col min="9" max="9" width="13.28515625" customWidth="1"/>
    <col min="10" max="10" width="18.85546875" style="57" customWidth="1"/>
    <col min="11" max="11" width="21.28515625" style="73" customWidth="1"/>
    <col min="12" max="12" width="13.42578125" style="74" customWidth="1"/>
    <col min="13" max="13" width="25.42578125" style="72" bestFit="1" customWidth="1"/>
    <col min="14" max="14" width="17.140625" style="65" customWidth="1"/>
    <col min="15" max="15" width="31.42578125" style="65" customWidth="1"/>
    <col min="16" max="16" width="17.140625" style="75" customWidth="1"/>
    <col min="17" max="17" width="15.140625" style="72" customWidth="1"/>
    <col min="18" max="18" width="12" style="76" customWidth="1"/>
    <col min="19" max="19" width="44" style="72" customWidth="1"/>
    <col min="45" max="16384" width="8.85546875" style="65"/>
  </cols>
  <sheetData>
    <row r="1" spans="1:19" customFormat="1" ht="23.25">
      <c r="A1" s="77" t="s">
        <v>47</v>
      </c>
      <c r="B1" s="77"/>
      <c r="C1" s="77"/>
      <c r="D1" s="77"/>
      <c r="E1" s="77"/>
      <c r="F1" s="77"/>
      <c r="G1" s="77"/>
      <c r="H1" s="77"/>
      <c r="I1" s="77"/>
      <c r="J1" s="78"/>
      <c r="K1" s="168" t="str">
        <f>'Data (Master Table)'!W4</f>
        <v>Youth Succession Planning</v>
      </c>
      <c r="L1" s="168"/>
      <c r="M1" s="168"/>
      <c r="N1" s="168"/>
      <c r="O1" s="168"/>
      <c r="P1" s="168"/>
      <c r="Q1" s="168"/>
      <c r="R1" s="168"/>
      <c r="S1" s="168"/>
    </row>
    <row r="2" spans="1:19" s="64" customFormat="1" ht="62.25" customHeight="1">
      <c r="A2" s="117" t="str">
        <f>'Data (Master Table)'!C2</f>
        <v>IS
VALID</v>
      </c>
      <c r="B2" s="117" t="str">
        <f>'Data (Master Table)'!D2</f>
        <v>SMART Outcome</v>
      </c>
      <c r="C2" s="117" t="str">
        <f>'Data (Master Table)'!E2</f>
        <v>Benefit</v>
      </c>
      <c r="D2" s="117" t="str">
        <f>'Data (Master Table)'!F2</f>
        <v>Starting Point / Baseline</v>
      </c>
      <c r="E2" s="117" t="str">
        <f>'Data (Master Table)'!G2</f>
        <v>Department</v>
      </c>
      <c r="F2" s="117" t="str">
        <f>'Data (Master Table)'!H2</f>
        <v>Reported to OPEX</v>
      </c>
      <c r="G2" s="117" t="str">
        <f>'Data (Master Table)'!I2</f>
        <v>Responsible Person</v>
      </c>
      <c r="H2" s="117" t="str">
        <f>'Data (Master Table)'!J2</f>
        <v>Risk Level</v>
      </c>
      <c r="I2" s="117" t="str">
        <f>'Data (Master Table)'!K2</f>
        <v>Risk if Not Achieved</v>
      </c>
      <c r="J2" s="118" t="str">
        <f>'Data (Master Table)'!L2</f>
        <v>Target Date</v>
      </c>
      <c r="K2" s="118" t="str">
        <f>'Data (Master Table)'!M2</f>
        <v>Specific Desired Outcome</v>
      </c>
      <c r="L2" s="119" t="str">
        <f>'Data (Master Table)'!N2</f>
        <v>Milestone Count</v>
      </c>
      <c r="M2" s="118" t="str">
        <f>'Data (Master Table)'!O2</f>
        <v>Milestone/s</v>
      </c>
      <c r="N2" s="118" t="str">
        <f>'Data (Master Table)'!P2</f>
        <v>Milestone/s Date</v>
      </c>
      <c r="O2" s="118" t="str">
        <f>'Data (Master Table)'!Q2</f>
        <v>Actions</v>
      </c>
      <c r="P2" s="118" t="str">
        <f>'Data (Master Table)'!R2</f>
        <v>Status</v>
      </c>
      <c r="Q2" s="118" t="str">
        <f>'Data (Master Table)'!S2</f>
        <v>Reason for Delay</v>
      </c>
      <c r="R2" s="120" t="str">
        <f>'Data (Master Table)'!T2</f>
        <v>Complete %</v>
      </c>
      <c r="S2" s="118" t="str">
        <f>'Data (Master Table)'!U2</f>
        <v>Notes</v>
      </c>
    </row>
    <row r="3" spans="1:19" ht="285" customHeight="1">
      <c r="A3" s="58" t="str">
        <f>IF('Data (Master Table)'!$B18 = $K$1, 'Data (Master Table)'!C18, "")</f>
        <v>YES</v>
      </c>
      <c r="B3" s="58" t="str">
        <f>IF('Data (Master Table)'!$B18 = $K$1, 'Data (Master Table)'!D18, "")</f>
        <v>Develop youth leadership</v>
      </c>
      <c r="C3" s="58" t="str">
        <f>IF('Data (Master Table)'!$B18 = $K$1, 'Data (Master Table)'!E18, "")</f>
        <v>Pipeline of young leaders, succession planning</v>
      </c>
      <c r="D3" s="58" t="str">
        <f>IF('Data (Master Table)'!$B18 = $K$1, 'Data (Master Table)'!F18, "")</f>
        <v>No formal youth leadership structure; involvement is ad‑hoc and reactive</v>
      </c>
      <c r="E3" s="58" t="str">
        <f>IF('Data (Master Table)'!$B18 = $K$1, 'Data (Master Table)'!G18, "")</f>
        <v>Youth</v>
      </c>
      <c r="F3" s="58" t="str">
        <f>IF('Data (Master Table)'!$B18 = $K$1, 'Data (Master Table)'!H18, "")</f>
        <v>End of March End of June End of Sept</v>
      </c>
      <c r="G3" s="58" t="str">
        <f>IF('Data (Master Table)'!$B18 = $K$1, 'Data (Master Table)'!I18, "")</f>
        <v>Afsor</v>
      </c>
      <c r="H3" s="58" t="str">
        <f>IF('Data (Master Table)'!$B18 = $K$1, 'Data (Master Table)'!J18, "")</f>
        <v>Medium</v>
      </c>
      <c r="I3" s="58" t="str">
        <f>IF('Data (Master Table)'!$B18 = $K$1, 'Data (Master Table)'!K18, "")</f>
        <v>High</v>
      </c>
      <c r="J3" s="59">
        <f>IF('Data (Master Table)'!$B18 = $K$1, 'Data (Master Table)'!L18, "")</f>
        <v>46068</v>
      </c>
      <c r="K3" s="66" t="s">
        <v>48</v>
      </c>
      <c r="L3" s="67">
        <v>1</v>
      </c>
      <c r="M3" s="68" t="s">
        <v>49</v>
      </c>
      <c r="N3" s="69" t="s">
        <v>50</v>
      </c>
      <c r="O3" s="68" t="s">
        <v>51</v>
      </c>
      <c r="P3" s="66" t="s">
        <v>33</v>
      </c>
      <c r="Q3" s="66"/>
      <c r="R3" s="70">
        <v>0.8</v>
      </c>
      <c r="S3" s="66" t="s">
        <v>52</v>
      </c>
    </row>
    <row r="4" spans="1:19" ht="202.5">
      <c r="A4" s="58" t="str">
        <f>IF('Data (Master Table)'!$B19 = $K$1, 'Data (Master Table)'!C19, "")</f>
        <v>YES</v>
      </c>
      <c r="B4" s="58" t="str">
        <f>IF('Data (Master Table)'!$B19 = $K$1, 'Data (Master Table)'!D19, "")</f>
        <v>Increase youth volunteering team by 40%</v>
      </c>
      <c r="C4" s="58" t="str">
        <f>IF('Data (Master Table)'!$B19 = $K$1, 'Data (Master Table)'!E19, "")</f>
        <v>Higher engagement &amp; continuity</v>
      </c>
      <c r="D4" s="58" t="str">
        <f>IF('Data (Master Table)'!$B19 = $K$1, 'Data (Master Table)'!F19, "")</f>
        <v>Current team number: X</v>
      </c>
      <c r="E4" s="58" t="str">
        <f>IF('Data (Master Table)'!$B19 = $K$1, 'Data (Master Table)'!G19, "")</f>
        <v>Youth</v>
      </c>
      <c r="F4" s="58" t="str">
        <f>IF('Data (Master Table)'!$B19 = $K$1, 'Data (Master Table)'!H19, "")</f>
        <v>End of March End of June End of Sept</v>
      </c>
      <c r="G4" s="58" t="str">
        <f>IF('Data (Master Table)'!$B19 = $K$1, 'Data (Master Table)'!I19, "")</f>
        <v>Afsor</v>
      </c>
      <c r="H4" s="58" t="str">
        <f>IF('Data (Master Table)'!$B19 = $K$1, 'Data (Master Table)'!J19, "")</f>
        <v>Low</v>
      </c>
      <c r="I4" s="58" t="str">
        <f>IF('Data (Master Table)'!$B19 = $K$1, 'Data (Master Table)'!K19, "")</f>
        <v>Medium</v>
      </c>
      <c r="J4" s="59">
        <f>IF('Data (Master Table)'!$B19 = $K$1, 'Data (Master Table)'!L19, "")</f>
        <v>46203</v>
      </c>
      <c r="K4" s="66" t="s">
        <v>53</v>
      </c>
      <c r="L4" s="67">
        <v>1</v>
      </c>
      <c r="M4" s="68" t="s">
        <v>54</v>
      </c>
      <c r="N4" s="69" t="s">
        <v>50</v>
      </c>
      <c r="O4" s="68" t="s">
        <v>55</v>
      </c>
      <c r="P4" s="66" t="s">
        <v>33</v>
      </c>
      <c r="Q4" s="66"/>
      <c r="R4" s="70">
        <v>0.6</v>
      </c>
      <c r="S4" s="66" t="s">
        <v>56</v>
      </c>
    </row>
    <row r="5" spans="1:19" ht="126" customHeight="1">
      <c r="A5" s="58" t="str">
        <f>IF('Data (Master Table)'!$B20 = $K$1, 'Data (Master Table)'!C20, "")</f>
        <v>YES</v>
      </c>
      <c r="B5" s="58" t="str">
        <f>IF('Data (Master Table)'!$B20 = $K$1, 'Data (Master Table)'!D20, "")</f>
        <v>Targeted talks to attract youth</v>
      </c>
      <c r="C5" s="58" t="str">
        <f>IF('Data (Master Table)'!$B20 = $K$1, 'Data (Master Table)'!E20, "")</f>
        <v>Higher engagement &amp; building youth connection to masjid</v>
      </c>
      <c r="D5" s="58" t="str">
        <f>IF('Data (Master Table)'!$B20 = $K$1, 'Data (Master Table)'!F20, "")</f>
        <v>Ad-hoc talks currently</v>
      </c>
      <c r="E5" s="58" t="str">
        <f>IF('Data (Master Table)'!$B20 = $K$1, 'Data (Master Table)'!G20, "")</f>
        <v>Youth</v>
      </c>
      <c r="F5" s="58" t="str">
        <f>IF('Data (Master Table)'!$B20 = $K$1, 'Data (Master Table)'!H20, "")</f>
        <v>End of March End of June End of Sept</v>
      </c>
      <c r="G5" s="58" t="str">
        <f>IF('Data (Master Table)'!$B20 = $K$1, 'Data (Master Table)'!I20, "")</f>
        <v>Afsor</v>
      </c>
      <c r="H5" s="58" t="str">
        <f>IF('Data (Master Table)'!$B20 = $K$1, 'Data (Master Table)'!J20, "")</f>
        <v>Medium</v>
      </c>
      <c r="I5" s="58" t="str">
        <f>IF('Data (Master Table)'!$B20 = $K$1, 'Data (Master Table)'!K20, "")</f>
        <v>Medium</v>
      </c>
      <c r="J5" s="59">
        <f>IF('Data (Master Table)'!$B20 = $K$1, 'Data (Master Table)'!L20, "")</f>
        <v>46112</v>
      </c>
      <c r="K5" s="66" t="s">
        <v>57</v>
      </c>
      <c r="L5" s="67">
        <v>6</v>
      </c>
      <c r="M5" s="68" t="s">
        <v>58</v>
      </c>
      <c r="N5" s="69" t="s">
        <v>50</v>
      </c>
      <c r="O5" s="66" t="s">
        <v>59</v>
      </c>
      <c r="P5" s="66" t="s">
        <v>33</v>
      </c>
      <c r="Q5" s="66"/>
      <c r="R5" s="70">
        <v>0.6</v>
      </c>
      <c r="S5" s="66" t="s">
        <v>60</v>
      </c>
    </row>
    <row r="6" spans="1:19" ht="164.25" customHeight="1">
      <c r="A6" s="58" t="str">
        <f>IF('Data (Master Table)'!$B21 = $K$1, 'Data (Master Table)'!C21, "")</f>
        <v>YES</v>
      </c>
      <c r="B6" s="58" t="str">
        <f>IF('Data (Master Table)'!$B21 = $K$1, 'Data (Master Table)'!D21, "")</f>
        <v>Bi-monthly events to attract youth</v>
      </c>
      <c r="C6" s="58" t="str">
        <f>IF('Data (Master Table)'!$B21 = $K$1, 'Data (Master Table)'!E21, "")</f>
        <v>Higher engagement &amp; building youth connection to masjid</v>
      </c>
      <c r="D6" s="58" t="str">
        <f>IF('Data (Master Table)'!$B21 = $K$1, 'Data (Master Table)'!F21, "")</f>
        <v>Ad-hoc events running currently</v>
      </c>
      <c r="E6" s="58" t="str">
        <f>IF('Data (Master Table)'!$B21 = $K$1, 'Data (Master Table)'!G21, "")</f>
        <v>Youth</v>
      </c>
      <c r="F6" s="58" t="str">
        <f>IF('Data (Master Table)'!$B21 = $K$1, 'Data (Master Table)'!H21, "")</f>
        <v>End of March End of June End of Sept</v>
      </c>
      <c r="G6" s="58" t="str">
        <f>IF('Data (Master Table)'!$B21 = $K$1, 'Data (Master Table)'!I21, "")</f>
        <v>Afsor</v>
      </c>
      <c r="H6" s="58" t="str">
        <f>IF('Data (Master Table)'!$B21 = $K$1, 'Data (Master Table)'!J21, "")</f>
        <v>High</v>
      </c>
      <c r="I6" s="58" t="str">
        <f>IF('Data (Master Table)'!$B21 = $K$1, 'Data (Master Table)'!K21, "")</f>
        <v>High</v>
      </c>
      <c r="J6" s="59">
        <f>IF('Data (Master Table)'!$B21 = $K$1, 'Data (Master Table)'!L21, "")</f>
        <v>46112</v>
      </c>
      <c r="K6" s="66" t="s">
        <v>61</v>
      </c>
      <c r="L6" s="67">
        <v>24</v>
      </c>
      <c r="M6" s="68" t="s">
        <v>62</v>
      </c>
      <c r="N6" s="69" t="s">
        <v>63</v>
      </c>
      <c r="O6" s="165" t="s">
        <v>64</v>
      </c>
      <c r="P6" s="66" t="s">
        <v>33</v>
      </c>
      <c r="Q6" s="66"/>
      <c r="R6" s="70">
        <v>0.5</v>
      </c>
      <c r="S6" s="66" t="s">
        <v>65</v>
      </c>
    </row>
    <row r="7" spans="1:19" ht="135">
      <c r="A7" s="58" t="str">
        <f>IF('Data (Master Table)'!$B22 = $K$1, 'Data (Master Table)'!C22, "")</f>
        <v>YES</v>
      </c>
      <c r="B7" s="58" t="str">
        <f>IF('Data (Master Table)'!$B22 = $K$1, 'Data (Master Table)'!D22, "")</f>
        <v>Leadership development</v>
      </c>
      <c r="C7" s="58" t="str">
        <f>IF('Data (Master Table)'!$B22 = $K$1, 'Data (Master Table)'!E22, "")</f>
        <v>Safer, more competent teams</v>
      </c>
      <c r="D7" s="58" t="str">
        <f>IF('Data (Master Table)'!$B22 = $K$1, 'Data (Master Table)'!F22, "")</f>
        <v>No formal youth leadership structure; involvement is ad‑hoc and reactive</v>
      </c>
      <c r="E7" s="58" t="str">
        <f>IF('Data (Master Table)'!$B22 = $K$1, 'Data (Master Table)'!G22, "")</f>
        <v>OPEX</v>
      </c>
      <c r="F7" s="58" t="str">
        <f>IF('Data (Master Table)'!$B22 = $K$1, 'Data (Master Table)'!H22, "")</f>
        <v>End of March End of June End of Sept</v>
      </c>
      <c r="G7" s="58" t="str">
        <f>IF('Data (Master Table)'!$B22 = $K$1, 'Data (Master Table)'!I22, "")</f>
        <v>Amer</v>
      </c>
      <c r="H7" s="58" t="str">
        <f>IF('Data (Master Table)'!$B22 = $K$1, 'Data (Master Table)'!J22, "")</f>
        <v>Low</v>
      </c>
      <c r="I7" s="58" t="str">
        <f>IF('Data (Master Table)'!$B22 = $K$1, 'Data (Master Table)'!K22, "")</f>
        <v>Medium</v>
      </c>
      <c r="J7" s="59">
        <f>IF('Data (Master Table)'!$B22 = $K$1, 'Data (Master Table)'!L22, "")</f>
        <v>46112</v>
      </c>
      <c r="K7" s="66" t="s">
        <v>66</v>
      </c>
      <c r="L7" s="67">
        <v>1</v>
      </c>
      <c r="M7" s="68" t="s">
        <v>67</v>
      </c>
      <c r="N7" s="69" t="s">
        <v>68</v>
      </c>
      <c r="O7" s="66" t="s">
        <v>69</v>
      </c>
      <c r="P7" s="66" t="s">
        <v>33</v>
      </c>
      <c r="Q7" s="66" t="s">
        <v>70</v>
      </c>
      <c r="R7" s="70">
        <v>0.7</v>
      </c>
      <c r="S7" s="66" t="s">
        <v>71</v>
      </c>
    </row>
    <row r="8" spans="1:19" ht="68.25">
      <c r="A8" s="58" t="str">
        <f>IF('Data (Master Table)'!$B23 = $K$1, 'Data (Master Table)'!C23, "")</f>
        <v>YES</v>
      </c>
      <c r="B8" s="58" t="str">
        <f>IF('Data (Master Table)'!$B23 = $K$1, 'Data (Master Table)'!D23, "")</f>
        <v>Leadership development</v>
      </c>
      <c r="C8" s="58" t="str">
        <f>IF('Data (Master Table)'!$B23 = $K$1, 'Data (Master Table)'!E23, "")</f>
        <v>Pipeline of young leaders, succession planning</v>
      </c>
      <c r="D8" s="58" t="str">
        <f>IF('Data (Master Table)'!$B23 = $K$1, 'Data (Master Table)'!F23, "")</f>
        <v>Scouts provision low</v>
      </c>
      <c r="E8" s="58" t="str">
        <f>IF('Data (Master Table)'!$B23 = $K$1, 'Data (Master Table)'!G23, "")</f>
        <v>Scouts</v>
      </c>
      <c r="F8" s="58" t="str">
        <f>IF('Data (Master Table)'!$B23 = $K$1, 'Data (Master Table)'!H23, "")</f>
        <v>End of March End of June End of Sept</v>
      </c>
      <c r="G8" s="58" t="str">
        <f>IF('Data (Master Table)'!$B23 = $K$1, 'Data (Master Table)'!I23, "")</f>
        <v>Khaleeq</v>
      </c>
      <c r="H8" s="58" t="str">
        <f>IF('Data (Master Table)'!$B23 = $K$1, 'Data (Master Table)'!J23, "")</f>
        <v>Medium</v>
      </c>
      <c r="I8" s="58" t="str">
        <f>IF('Data (Master Table)'!$B23 = $K$1, 'Data (Master Table)'!K23, "")</f>
        <v>Medium</v>
      </c>
      <c r="J8" s="59">
        <f>IF('Data (Master Table)'!$B23 = $K$1, 'Data (Master Table)'!L23, "")</f>
        <v>46112</v>
      </c>
      <c r="K8" s="71" t="s">
        <v>72</v>
      </c>
      <c r="L8" s="67">
        <v>1</v>
      </c>
      <c r="M8" s="68" t="s">
        <v>73</v>
      </c>
      <c r="N8" s="68" t="s">
        <v>74</v>
      </c>
      <c r="O8" s="68" t="s">
        <v>75</v>
      </c>
      <c r="P8" s="66" t="s">
        <v>76</v>
      </c>
      <c r="Q8" s="66"/>
      <c r="R8" s="70">
        <v>0</v>
      </c>
      <c r="S8" s="66" t="s">
        <v>77</v>
      </c>
    </row>
    <row r="9" spans="1:19">
      <c r="A9" s="58" t="str">
        <f>IF('Data (Master Table)'!$B24 = $K$1, 'Data (Master Table)'!C24, "")</f>
        <v/>
      </c>
      <c r="B9" s="58" t="str">
        <f>IF('Data (Master Table)'!$B24 = $K$1, 'Data (Master Table)'!D24, "")</f>
        <v/>
      </c>
      <c r="C9" s="58" t="str">
        <f>IF('Data (Master Table)'!$B24 = $K$1, 'Data (Master Table)'!E24, "")</f>
        <v/>
      </c>
      <c r="D9" s="58" t="str">
        <f>IF('Data (Master Table)'!$B24 = $K$1, 'Data (Master Table)'!F24, "")</f>
        <v/>
      </c>
      <c r="E9" s="58" t="str">
        <f>IF('Data (Master Table)'!$B24 = $K$1, 'Data (Master Table)'!G24, "")</f>
        <v/>
      </c>
      <c r="F9" s="58" t="str">
        <f>IF('Data (Master Table)'!$B24 = $K$1, 'Data (Master Table)'!H24, "")</f>
        <v/>
      </c>
      <c r="G9" s="58" t="str">
        <f>IF('Data (Master Table)'!$B24 = $K$1, 'Data (Master Table)'!I24, "")</f>
        <v/>
      </c>
      <c r="H9" s="58" t="str">
        <f>IF('Data (Master Table)'!$B24 = $K$1, 'Data (Master Table)'!J24, "")</f>
        <v/>
      </c>
      <c r="I9" s="58" t="str">
        <f>IF('Data (Master Table)'!$B24 = $K$1, 'Data (Master Table)'!K24, "")</f>
        <v/>
      </c>
      <c r="J9" s="59" t="str">
        <f>IF('Data (Master Table)'!$B24 = $K$1, 'Data (Master Table)'!L24, "")</f>
        <v/>
      </c>
      <c r="K9" s="71"/>
      <c r="L9" s="67"/>
      <c r="M9" s="68"/>
      <c r="N9" s="68"/>
      <c r="O9" s="68"/>
      <c r="P9" s="66"/>
      <c r="Q9" s="66"/>
      <c r="R9" s="70"/>
      <c r="S9" s="66"/>
    </row>
    <row r="10" spans="1:19">
      <c r="A10" s="58" t="str">
        <f>IF('Data (Master Table)'!$B25 = $K$1, 'Data (Master Table)'!C25, "")</f>
        <v/>
      </c>
      <c r="B10" s="58" t="str">
        <f>IF('Data (Master Table)'!$B25 = $K$1, 'Data (Master Table)'!D25, "")</f>
        <v/>
      </c>
      <c r="C10" s="58" t="str">
        <f>IF('Data (Master Table)'!$B25 = $K$1, 'Data (Master Table)'!E25, "")</f>
        <v/>
      </c>
      <c r="D10" s="58" t="str">
        <f>IF('Data (Master Table)'!$B25 = $K$1, 'Data (Master Table)'!F25, "")</f>
        <v/>
      </c>
      <c r="E10" s="58" t="str">
        <f>IF('Data (Master Table)'!$B25 = $K$1, 'Data (Master Table)'!G25, "")</f>
        <v/>
      </c>
      <c r="F10" s="58" t="str">
        <f>IF('Data (Master Table)'!$B25 = $K$1, 'Data (Master Table)'!H25, "")</f>
        <v/>
      </c>
      <c r="G10" s="58" t="str">
        <f>IF('Data (Master Table)'!$B25 = $K$1, 'Data (Master Table)'!I25, "")</f>
        <v/>
      </c>
      <c r="H10" s="58" t="str">
        <f>IF('Data (Master Table)'!$B25 = $K$1, 'Data (Master Table)'!J25, "")</f>
        <v/>
      </c>
      <c r="I10" s="58" t="str">
        <f>IF('Data (Master Table)'!$B25 = $K$1, 'Data (Master Table)'!K25, "")</f>
        <v/>
      </c>
      <c r="J10" s="59" t="str">
        <f>IF('Data (Master Table)'!$B25 = $K$1, 'Data (Master Table)'!L25, "")</f>
        <v/>
      </c>
      <c r="K10" s="71"/>
      <c r="L10" s="67"/>
      <c r="M10" s="68"/>
      <c r="N10" s="68"/>
      <c r="O10" s="68"/>
      <c r="P10" s="66"/>
      <c r="Q10" s="66"/>
      <c r="R10" s="70"/>
      <c r="S10" s="66"/>
    </row>
    <row r="11" spans="1:19">
      <c r="A11" s="58" t="str">
        <f>IF('Data (Master Table)'!$B26 = $K$1, 'Data (Master Table)'!C26, "")</f>
        <v/>
      </c>
      <c r="B11" s="58" t="str">
        <f>IF('Data (Master Table)'!$B26 = $K$1, 'Data (Master Table)'!D26, "")</f>
        <v/>
      </c>
      <c r="C11" s="58" t="str">
        <f>IF('Data (Master Table)'!$B26 = $K$1, 'Data (Master Table)'!E26, "")</f>
        <v/>
      </c>
      <c r="D11" s="58" t="str">
        <f>IF('Data (Master Table)'!$B26 = $K$1, 'Data (Master Table)'!F26, "")</f>
        <v/>
      </c>
      <c r="E11" s="58" t="str">
        <f>IF('Data (Master Table)'!$B26 = $K$1, 'Data (Master Table)'!G26, "")</f>
        <v/>
      </c>
      <c r="F11" s="58" t="str">
        <f>IF('Data (Master Table)'!$B26 = $K$1, 'Data (Master Table)'!H26, "")</f>
        <v/>
      </c>
      <c r="G11" s="58" t="str">
        <f>IF('Data (Master Table)'!$B26 = $K$1, 'Data (Master Table)'!I26, "")</f>
        <v/>
      </c>
      <c r="H11" s="58" t="str">
        <f>IF('Data (Master Table)'!$B26 = $K$1, 'Data (Master Table)'!J26, "")</f>
        <v/>
      </c>
      <c r="I11" s="58" t="str">
        <f>IF('Data (Master Table)'!$B26 = $K$1, 'Data (Master Table)'!K26, "")</f>
        <v/>
      </c>
      <c r="J11" s="59" t="str">
        <f>IF('Data (Master Table)'!$B26 = $K$1, 'Data (Master Table)'!L26, "")</f>
        <v/>
      </c>
      <c r="K11" s="71"/>
      <c r="L11" s="67"/>
      <c r="M11" s="68"/>
      <c r="N11" s="68"/>
      <c r="O11" s="68"/>
      <c r="P11" s="66"/>
      <c r="Q11" s="66"/>
      <c r="R11" s="70"/>
      <c r="S11" s="66"/>
    </row>
    <row r="12" spans="1:19">
      <c r="A12" s="58" t="str">
        <f>IF('Data (Master Table)'!$B27 = $K$1, 'Data (Master Table)'!C27, "")</f>
        <v/>
      </c>
      <c r="B12" s="58" t="str">
        <f>IF('Data (Master Table)'!$B27 = $K$1, 'Data (Master Table)'!D27, "")</f>
        <v/>
      </c>
      <c r="C12" s="58" t="str">
        <f>IF('Data (Master Table)'!$B27 = $K$1, 'Data (Master Table)'!E27, "")</f>
        <v/>
      </c>
      <c r="D12" s="58" t="str">
        <f>IF('Data (Master Table)'!$B27 = $K$1, 'Data (Master Table)'!F27, "")</f>
        <v/>
      </c>
      <c r="E12" s="58" t="str">
        <f>IF('Data (Master Table)'!$B27 = $K$1, 'Data (Master Table)'!G27, "")</f>
        <v/>
      </c>
      <c r="F12" s="58" t="str">
        <f>IF('Data (Master Table)'!$B27 = $K$1, 'Data (Master Table)'!H27, "")</f>
        <v/>
      </c>
      <c r="G12" s="58" t="str">
        <f>IF('Data (Master Table)'!$B27 = $K$1, 'Data (Master Table)'!I27, "")</f>
        <v/>
      </c>
      <c r="H12" s="58" t="str">
        <f>IF('Data (Master Table)'!$B27 = $K$1, 'Data (Master Table)'!J27, "")</f>
        <v/>
      </c>
      <c r="I12" s="58" t="str">
        <f>IF('Data (Master Table)'!$B27 = $K$1, 'Data (Master Table)'!K27, "")</f>
        <v/>
      </c>
      <c r="J12" s="59" t="str">
        <f>IF('Data (Master Table)'!$B27 = $K$1, 'Data (Master Table)'!L27, "")</f>
        <v/>
      </c>
      <c r="K12" s="71"/>
      <c r="L12" s="67"/>
      <c r="M12" s="68"/>
      <c r="N12" s="102"/>
      <c r="O12" s="102"/>
      <c r="P12" s="103"/>
      <c r="Q12" s="66"/>
      <c r="R12" s="104"/>
      <c r="S12" s="66"/>
    </row>
    <row r="13" spans="1:19">
      <c r="A13" s="58" t="str">
        <f>IF('Data (Master Table)'!$B28 = $K$1, 'Data (Master Table)'!C28, "")</f>
        <v/>
      </c>
      <c r="B13" s="58" t="str">
        <f>IF('Data (Master Table)'!$B28 = $K$1, 'Data (Master Table)'!D28, "")</f>
        <v/>
      </c>
      <c r="C13" s="58" t="str">
        <f>IF('Data (Master Table)'!$B28 = $K$1, 'Data (Master Table)'!E28, "")</f>
        <v/>
      </c>
      <c r="D13" s="58" t="str">
        <f>IF('Data (Master Table)'!$B28 = $K$1, 'Data (Master Table)'!F28, "")</f>
        <v/>
      </c>
      <c r="E13" s="58" t="str">
        <f>IF('Data (Master Table)'!$B28 = $K$1, 'Data (Master Table)'!G28, "")</f>
        <v/>
      </c>
      <c r="F13" s="58" t="str">
        <f>IF('Data (Master Table)'!$B28 = $K$1, 'Data (Master Table)'!H28, "")</f>
        <v/>
      </c>
      <c r="G13" s="58" t="str">
        <f>IF('Data (Master Table)'!$B28 = $K$1, 'Data (Master Table)'!I28, "")</f>
        <v/>
      </c>
      <c r="H13" s="58" t="str">
        <f>IF('Data (Master Table)'!$B28 = $K$1, 'Data (Master Table)'!J28, "")</f>
        <v/>
      </c>
      <c r="I13" s="58" t="str">
        <f>IF('Data (Master Table)'!$B28 = $K$1, 'Data (Master Table)'!K28, "")</f>
        <v/>
      </c>
      <c r="J13" s="59" t="str">
        <f>IF('Data (Master Table)'!$B28 = $K$1, 'Data (Master Table)'!L28, "")</f>
        <v/>
      </c>
      <c r="K13" s="71"/>
      <c r="L13" s="67"/>
      <c r="M13" s="68"/>
      <c r="N13" s="102"/>
      <c r="O13" s="102"/>
      <c r="P13" s="103"/>
      <c r="Q13" s="66"/>
      <c r="R13" s="104"/>
      <c r="S13" s="66"/>
    </row>
    <row r="14" spans="1:19">
      <c r="A14" s="58" t="str">
        <f>IF('Data (Master Table)'!$B29 = $K$1, 'Data (Master Table)'!C29, "")</f>
        <v/>
      </c>
      <c r="B14" s="58" t="str">
        <f>IF('Data (Master Table)'!$B29 = $K$1, 'Data (Master Table)'!D29, "")</f>
        <v/>
      </c>
      <c r="C14" s="58" t="str">
        <f>IF('Data (Master Table)'!$B29 = $K$1, 'Data (Master Table)'!E29, "")</f>
        <v/>
      </c>
      <c r="D14" s="58" t="str">
        <f>IF('Data (Master Table)'!$B29 = $K$1, 'Data (Master Table)'!F29, "")</f>
        <v/>
      </c>
      <c r="E14" s="58" t="str">
        <f>IF('Data (Master Table)'!$B29 = $K$1, 'Data (Master Table)'!G29, "")</f>
        <v/>
      </c>
      <c r="F14" s="58" t="str">
        <f>IF('Data (Master Table)'!$B29 = $K$1, 'Data (Master Table)'!H29, "")</f>
        <v/>
      </c>
      <c r="G14" s="58" t="str">
        <f>IF('Data (Master Table)'!$B29 = $K$1, 'Data (Master Table)'!I29, "")</f>
        <v/>
      </c>
      <c r="H14" s="58" t="str">
        <f>IF('Data (Master Table)'!$B29 = $K$1, 'Data (Master Table)'!J29, "")</f>
        <v/>
      </c>
      <c r="I14" s="58" t="str">
        <f>IF('Data (Master Table)'!$B29 = $K$1, 'Data (Master Table)'!K29, "")</f>
        <v/>
      </c>
      <c r="J14" s="59" t="str">
        <f>IF('Data (Master Table)'!$B29 = $K$1, 'Data (Master Table)'!L29, "")</f>
        <v/>
      </c>
      <c r="K14" s="71"/>
      <c r="L14" s="67"/>
      <c r="M14" s="68"/>
      <c r="N14" s="102"/>
      <c r="O14" s="102"/>
      <c r="P14" s="103"/>
      <c r="Q14" s="66"/>
      <c r="R14" s="104"/>
      <c r="S14" s="66"/>
    </row>
    <row r="15" spans="1:19">
      <c r="A15" s="58" t="str">
        <f>IF('Data (Master Table)'!$B30 = $K$1, 'Data (Master Table)'!C30, "")</f>
        <v/>
      </c>
      <c r="B15" s="58" t="str">
        <f>IF('Data (Master Table)'!$B30 = $K$1, 'Data (Master Table)'!D30, "")</f>
        <v/>
      </c>
      <c r="C15" s="58" t="str">
        <f>IF('Data (Master Table)'!$B30 = $K$1, 'Data (Master Table)'!E30, "")</f>
        <v/>
      </c>
      <c r="D15" s="58" t="str">
        <f>IF('Data (Master Table)'!$B30 = $K$1, 'Data (Master Table)'!F30, "")</f>
        <v/>
      </c>
      <c r="E15" s="58" t="str">
        <f>IF('Data (Master Table)'!$B30 = $K$1, 'Data (Master Table)'!G30, "")</f>
        <v/>
      </c>
      <c r="F15" s="58" t="str">
        <f>IF('Data (Master Table)'!$B30 = $K$1, 'Data (Master Table)'!H30, "")</f>
        <v/>
      </c>
      <c r="G15" s="58" t="str">
        <f>IF('Data (Master Table)'!$B30 = $K$1, 'Data (Master Table)'!I30, "")</f>
        <v/>
      </c>
      <c r="H15" s="58" t="str">
        <f>IF('Data (Master Table)'!$B30 = $K$1, 'Data (Master Table)'!J30, "")</f>
        <v/>
      </c>
      <c r="I15" s="58" t="str">
        <f>IF('Data (Master Table)'!$B30 = $K$1, 'Data (Master Table)'!K30, "")</f>
        <v/>
      </c>
      <c r="J15" s="59" t="str">
        <f>IF('Data (Master Table)'!$B30 = $K$1, 'Data (Master Table)'!L30, "")</f>
        <v/>
      </c>
      <c r="K15" s="71"/>
      <c r="L15" s="67"/>
      <c r="M15" s="68"/>
      <c r="N15" s="102"/>
      <c r="O15" s="102"/>
      <c r="P15" s="103"/>
      <c r="Q15" s="66"/>
      <c r="R15" s="104"/>
      <c r="S15" s="66"/>
    </row>
    <row r="16" spans="1:19">
      <c r="A16" s="58" t="str">
        <f>IF('Data (Master Table)'!$B31 = $K$1, 'Data (Master Table)'!C31, "")</f>
        <v/>
      </c>
      <c r="B16" s="58" t="str">
        <f>IF('Data (Master Table)'!$B31 = $K$1, 'Data (Master Table)'!D31, "")</f>
        <v/>
      </c>
      <c r="C16" s="58" t="str">
        <f>IF('Data (Master Table)'!$B31 = $K$1, 'Data (Master Table)'!E31, "")</f>
        <v/>
      </c>
      <c r="D16" s="58" t="str">
        <f>IF('Data (Master Table)'!$B31 = $K$1, 'Data (Master Table)'!F31, "")</f>
        <v/>
      </c>
      <c r="E16" s="58" t="str">
        <f>IF('Data (Master Table)'!$B31 = $K$1, 'Data (Master Table)'!G31, "")</f>
        <v/>
      </c>
      <c r="F16" s="58" t="str">
        <f>IF('Data (Master Table)'!$B31 = $K$1, 'Data (Master Table)'!H31, "")</f>
        <v/>
      </c>
      <c r="G16" s="58" t="str">
        <f>IF('Data (Master Table)'!$B31 = $K$1, 'Data (Master Table)'!I31, "")</f>
        <v/>
      </c>
      <c r="H16" s="58" t="str">
        <f>IF('Data (Master Table)'!$B31 = $K$1, 'Data (Master Table)'!J31, "")</f>
        <v/>
      </c>
      <c r="I16" s="58" t="str">
        <f>IF('Data (Master Table)'!$B31 = $K$1, 'Data (Master Table)'!K31, "")</f>
        <v/>
      </c>
      <c r="J16" s="59" t="str">
        <f>IF('Data (Master Table)'!$B31 = $K$1, 'Data (Master Table)'!L31, "")</f>
        <v/>
      </c>
      <c r="K16" s="71"/>
      <c r="L16" s="67"/>
      <c r="M16" s="68"/>
      <c r="N16" s="102"/>
      <c r="O16" s="102"/>
      <c r="P16" s="103"/>
      <c r="Q16" s="66"/>
      <c r="R16" s="104"/>
      <c r="S16" s="66"/>
    </row>
  </sheetData>
  <sheetProtection sheet="1" formatCells="0" formatColumns="0" formatRows="0" insertColumns="0" insertRows="0" insertHyperlinks="0" sort="0" autoFilter="0" pivotTables="0"/>
  <mergeCells count="1">
    <mergeCell ref="K1:S1"/>
  </mergeCells>
  <conditionalFormatting sqref="A3:S16">
    <cfRule type="expression" dxfId="42" priority="1">
      <formula>$A3= "NO"</formula>
    </cfRule>
  </conditionalFormatting>
  <conditionalFormatting sqref="R1:R1048576">
    <cfRule type="colorScale" priority="9">
      <colorScale>
        <cfvo type="min"/>
        <cfvo type="percentile" val="50"/>
        <cfvo type="max"/>
        <color rgb="FFF8696B"/>
        <color rgb="FFFFEB84"/>
        <color rgb="FF63BE7B"/>
      </colorScale>
    </cfRule>
  </conditionalFormatting>
  <dataValidations count="2">
    <dataValidation type="list" allowBlank="1" showInputMessage="1" showErrorMessage="1" sqref="F186:J199" xr:uid="{3E1BABCB-365A-9943-BA75-DA94B50F062D}">
      <formula1>"Low,Medium,High"</formula1>
    </dataValidation>
    <dataValidation allowBlank="1" showInputMessage="1" showErrorMessage="1" sqref="S1:S1048576 Q1:Q1048576 K1:N1048576 O1:O5 O7:O1048576" xr:uid="{1315C03A-F26A-4BEC-AB54-D782E4ADF000}"/>
  </dataValidations>
  <pageMargins left="0.75" right="0.75" top="1" bottom="1" header="0.5" footer="0.5"/>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 operator="equal" id="{A846D426-8EFB-D24B-B18F-6471B34F14CB}">
            <xm:f>'Data (Master Table)'!$AC$5</xm:f>
            <x14:dxf>
              <font>
                <b/>
                <i val="0"/>
              </font>
              <fill>
                <patternFill>
                  <bgColor rgb="FF92D050"/>
                </patternFill>
              </fill>
            </x14:dxf>
          </x14:cfRule>
          <x14:cfRule type="cellIs" priority="3" operator="equal" id="{42330805-7D1B-4642-A394-D60BC2E3B4D7}">
            <xm:f>'Data (Master Table)'!$AC$4</xm:f>
            <x14:dxf>
              <font>
                <b/>
                <i val="0"/>
              </font>
              <fill>
                <patternFill>
                  <bgColor rgb="FFFFC000"/>
                </patternFill>
              </fill>
            </x14:dxf>
          </x14:cfRule>
          <x14:cfRule type="cellIs" priority="4" operator="equal" id="{A33624E2-561D-5F4C-AA26-C14FA0A51BCB}">
            <xm:f>'Data (Master Table)'!$AC$3</xm:f>
            <x14:dxf>
              <font>
                <b/>
                <i val="0"/>
              </font>
              <fill>
                <patternFill>
                  <bgColor rgb="FFFF0000"/>
                </patternFill>
              </fill>
            </x14:dxf>
          </x14:cfRule>
          <xm:sqref>H2:I1000</xm:sqref>
        </x14:conditionalFormatting>
        <x14:conditionalFormatting xmlns:xm="http://schemas.microsoft.com/office/excel/2006/main">
          <x14:cfRule type="cellIs" priority="5" operator="equal" id="{7C3AD107-BF6D-2546-A12C-B5A01F2D6AB4}">
            <xm:f>'Data (Master Table)'!$Y$6</xm:f>
            <x14:dxf>
              <fill>
                <patternFill>
                  <bgColor rgb="FFFFFF00"/>
                </patternFill>
              </fill>
            </x14:dxf>
          </x14:cfRule>
          <x14:cfRule type="cellIs" priority="6" operator="equal" id="{D4218637-2335-2E48-9217-54419D02AEBB}">
            <xm:f>'Data (Master Table)'!$Y$3</xm:f>
            <x14:dxf>
              <fill>
                <patternFill>
                  <bgColor theme="0" tint="-0.24994659260841701"/>
                </patternFill>
              </fill>
            </x14:dxf>
          </x14:cfRule>
          <x14:cfRule type="cellIs" priority="7" operator="equal" id="{05127812-2A56-974E-B584-2F8E15CD2E93}">
            <xm:f>'Data (Master Table)'!$Y$5</xm:f>
            <x14:dxf>
              <fill>
                <patternFill>
                  <bgColor rgb="FF92D050"/>
                </patternFill>
              </fill>
            </x14:dxf>
          </x14:cfRule>
          <x14:cfRule type="cellIs" priority="8" operator="equal" id="{0AA45CA8-8AA8-0F42-A24A-3B2A38E2A485}">
            <xm:f>'Data (Master Table)'!$Y$4</xm:f>
            <x14:dxf>
              <fill>
                <patternFill>
                  <bgColor theme="3" tint="0.59996337778862885"/>
                </patternFill>
              </fill>
            </x14:dxf>
          </x14:cfRule>
          <xm:sqref>P1:P1048576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3B42F07F-399B-4140-9907-7803B24CE85A}">
          <x14:formula1>
            <xm:f>'Data (Master Table)'!$AA$3:$AA$13</xm:f>
          </x14:formula1>
          <xm:sqref>R1 R3:R1048576</xm:sqref>
        </x14:dataValidation>
        <x14:dataValidation type="list" allowBlank="1" showInputMessage="1" showErrorMessage="1" xr:uid="{552A06F3-663B-FE4C-B0C9-D33389BDF371}">
          <x14:formula1>
            <xm:f>'Data (Master Table)'!$Y$3:$Y$17</xm:f>
          </x14:formula1>
          <xm:sqref>P1 P3:P1048576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41F26-4C68-EE44-B5E5-AE20B64F7825}">
  <sheetPr>
    <tabColor rgb="FF92D050"/>
  </sheetPr>
  <dimension ref="A1:EP20"/>
  <sheetViews>
    <sheetView zoomScale="60" zoomScaleNormal="60" workbookViewId="0">
      <pane xSplit="10" ySplit="2" topLeftCell="K7" activePane="bottomRight" state="frozen"/>
      <selection pane="bottomRight" activeCell="K9" sqref="K9"/>
      <selection pane="bottomLeft" activeCell="A3" sqref="A3"/>
      <selection pane="topRight" activeCell="J1" sqref="J1"/>
    </sheetView>
  </sheetViews>
  <sheetFormatPr defaultColWidth="8.85546875" defaultRowHeight="15" customHeight="1"/>
  <cols>
    <col min="1" max="1" width="8.85546875" style="65"/>
    <col min="2" max="2" width="15" customWidth="1"/>
    <col min="3" max="3" width="21.7109375" style="4" customWidth="1"/>
    <col min="4" max="4" width="22.28515625" style="4" customWidth="1"/>
    <col min="5" max="5" width="16.85546875" style="4" customWidth="1"/>
    <col min="6" max="6" width="14.7109375" customWidth="1"/>
    <col min="7" max="7" width="16.28515625" customWidth="1"/>
    <col min="8" max="8" width="13.42578125" customWidth="1"/>
    <col min="9" max="9" width="13.85546875" customWidth="1"/>
    <col min="10" max="10" width="21.7109375" style="57" customWidth="1"/>
    <col min="11" max="11" width="21.28515625" style="73" customWidth="1"/>
    <col min="12" max="12" width="15.28515625" style="74" customWidth="1"/>
    <col min="13" max="13" width="29.140625" style="72" customWidth="1"/>
    <col min="14" max="14" width="15.42578125" style="65" customWidth="1"/>
    <col min="15" max="15" width="31.42578125" style="65" customWidth="1"/>
    <col min="16" max="16" width="17.140625" style="75" customWidth="1"/>
    <col min="17" max="17" width="15.140625" style="72" customWidth="1"/>
    <col min="18" max="18" width="13.85546875" style="76" customWidth="1"/>
    <col min="19" max="19" width="40.7109375" style="72" customWidth="1"/>
    <col min="147" max="16384" width="8.85546875" style="65"/>
  </cols>
  <sheetData>
    <row r="1" spans="1:19" customFormat="1" ht="23.25">
      <c r="A1" s="79" t="s">
        <v>78</v>
      </c>
      <c r="B1" s="79"/>
      <c r="C1" s="79"/>
      <c r="D1" s="79"/>
      <c r="E1" s="79"/>
      <c r="F1" s="79"/>
      <c r="G1" s="79"/>
      <c r="H1" s="79"/>
      <c r="I1" s="79"/>
      <c r="J1" s="80"/>
      <c r="K1" s="169" t="str">
        <f>'Data (Master Table)'!W5</f>
        <v>Wider Community Engagement</v>
      </c>
      <c r="L1" s="169"/>
      <c r="M1" s="169"/>
      <c r="N1" s="169"/>
      <c r="O1" s="169"/>
      <c r="P1" s="169"/>
      <c r="Q1" s="169"/>
      <c r="R1" s="169"/>
      <c r="S1" s="169"/>
    </row>
    <row r="2" spans="1:19" s="64" customFormat="1" ht="62.25" customHeight="1">
      <c r="A2" s="117" t="str">
        <f>'Data (Master Table)'!C2</f>
        <v>IS
VALID</v>
      </c>
      <c r="B2" s="117" t="str">
        <f>'Data (Master Table)'!D2</f>
        <v>SMART Outcome</v>
      </c>
      <c r="C2" s="117" t="str">
        <f>'Data (Master Table)'!E2</f>
        <v>Benefit</v>
      </c>
      <c r="D2" s="117" t="str">
        <f>'Data (Master Table)'!F2</f>
        <v>Starting Point / Baseline</v>
      </c>
      <c r="E2" s="117" t="str">
        <f>'Data (Master Table)'!G2</f>
        <v>Department</v>
      </c>
      <c r="F2" s="117" t="str">
        <f>'Data (Master Table)'!H2</f>
        <v>Reported to OPEX</v>
      </c>
      <c r="G2" s="117" t="str">
        <f>'Data (Master Table)'!I2</f>
        <v>Responsible Person</v>
      </c>
      <c r="H2" s="117" t="str">
        <f>'Data (Master Table)'!J2</f>
        <v>Risk Level</v>
      </c>
      <c r="I2" s="117" t="str">
        <f>'Data (Master Table)'!K2</f>
        <v>Risk if Not Achieved</v>
      </c>
      <c r="J2" s="118" t="str">
        <f>'Data (Master Table)'!L2</f>
        <v>Target Date</v>
      </c>
      <c r="K2" s="118" t="str">
        <f>'Data (Master Table)'!M2</f>
        <v>Specific Desired Outcome</v>
      </c>
      <c r="L2" s="119" t="str">
        <f>'Data (Master Table)'!N2</f>
        <v>Milestone Count</v>
      </c>
      <c r="M2" s="118" t="str">
        <f>'Data (Master Table)'!O2</f>
        <v>Milestone/s</v>
      </c>
      <c r="N2" s="118" t="str">
        <f>'Data (Master Table)'!P2</f>
        <v>Milestone/s Date</v>
      </c>
      <c r="O2" s="118" t="str">
        <f>'Data (Master Table)'!Q2</f>
        <v>Actions</v>
      </c>
      <c r="P2" s="118" t="str">
        <f>'Data (Master Table)'!R2</f>
        <v>Status</v>
      </c>
      <c r="Q2" s="118" t="str">
        <f>'Data (Master Table)'!S2</f>
        <v>Reason for Delay</v>
      </c>
      <c r="R2" s="120" t="str">
        <f>'Data (Master Table)'!T2</f>
        <v>Complete %</v>
      </c>
      <c r="S2" s="118" t="str">
        <f>'Data (Master Table)'!U2</f>
        <v>Notes</v>
      </c>
    </row>
    <row r="3" spans="1:19" ht="112.5" customHeight="1">
      <c r="A3" s="58" t="str">
        <f>IF('Data (Master Table)'!$B33 = $K$1, 'Data (Master Table)'!C33, "")</f>
        <v>YES</v>
      </c>
      <c r="B3" s="58" t="str">
        <f>IF('Data (Master Table)'!$B33 = $K$1, 'Data (Master Table)'!D33, "")</f>
        <v>Build partnerships</v>
      </c>
      <c r="C3" s="58" t="str">
        <f>IF('Data (Master Table)'!$B33 = $K$1, 'Data (Master Table)'!E33, "")</f>
        <v>Shared impact &amp; credibility, improved societal integration</v>
      </c>
      <c r="D3" s="58" t="str">
        <f>IF('Data (Master Table)'!$B33 = $K$1, 'Data (Master Table)'!F33, "")</f>
        <v>3–4 informal partnerships; sporadic open days; no structured annual calendar</v>
      </c>
      <c r="E3" s="58" t="str">
        <f>IF('Data (Master Table)'!$B33 = $K$1, 'Data (Master Table)'!G33, "")</f>
        <v>Community / Politics</v>
      </c>
      <c r="F3" s="58" t="str">
        <f>IF('Data (Master Table)'!$B33 = $K$1, 'Data (Master Table)'!H33, "")</f>
        <v>End of March End of June End of Sept</v>
      </c>
      <c r="G3" s="58" t="str">
        <f>IF('Data (Master Table)'!$B33 = $K$1, 'Data (Master Table)'!I33, "")</f>
        <v>Matiur</v>
      </c>
      <c r="H3" s="58" t="str">
        <f>IF('Data (Master Table)'!$B33 = $K$1, 'Data (Master Table)'!J33, "")</f>
        <v>Medium</v>
      </c>
      <c r="I3" s="58" t="str">
        <f>IF('Data (Master Table)'!$B33 = $K$1, 'Data (Master Table)'!K33, "")</f>
        <v>High</v>
      </c>
      <c r="J3" s="59">
        <f>IF('Data (Master Table)'!$B33 = $K$1, 'Data (Master Table)'!L33, "")</f>
        <v>46173</v>
      </c>
      <c r="K3" s="66" t="s">
        <v>79</v>
      </c>
      <c r="L3" s="67">
        <v>3</v>
      </c>
      <c r="M3" s="68" t="s">
        <v>80</v>
      </c>
      <c r="N3" s="69" t="s">
        <v>81</v>
      </c>
      <c r="O3" s="66" t="s">
        <v>82</v>
      </c>
      <c r="P3" s="66" t="s">
        <v>33</v>
      </c>
      <c r="Q3" s="66"/>
      <c r="R3" s="70">
        <v>0.4</v>
      </c>
      <c r="S3" s="158" t="s">
        <v>83</v>
      </c>
    </row>
    <row r="4" spans="1:19" ht="197.25" customHeight="1">
      <c r="A4" s="58" t="str">
        <f>IF('Data (Master Table)'!$B34 = $K$1, 'Data (Master Table)'!C34, "")</f>
        <v>YES</v>
      </c>
      <c r="B4" s="58" t="str">
        <f>IF('Data (Master Table)'!$B34 = $K$1, 'Data (Master Table)'!D34, "")</f>
        <v>Community events</v>
      </c>
      <c r="C4" s="58" t="str">
        <f>IF('Data (Master Table)'!$B34 = $K$1, 'Data (Master Table)'!E34, "")</f>
        <v>Improved public perception and relationships, increased local impact</v>
      </c>
      <c r="D4" s="58" t="str">
        <f>IF('Data (Master Table)'!$B34 = $K$1, 'Data (Master Table)'!F34, "")</f>
        <v>3–4 informal partnerships; sporadic open days; no structured annual calendar</v>
      </c>
      <c r="E4" s="58" t="str">
        <f>IF('Data (Master Table)'!$B34 = $K$1, 'Data (Master Table)'!G34, "")</f>
        <v>Community / Politics</v>
      </c>
      <c r="F4" s="58" t="str">
        <f>IF('Data (Master Table)'!$B34 = $K$1, 'Data (Master Table)'!H34, "")</f>
        <v>End of March End of June End of Sept</v>
      </c>
      <c r="G4" s="58" t="str">
        <f>IF('Data (Master Table)'!$B34 = $K$1, 'Data (Master Table)'!I34, "")</f>
        <v>Avais</v>
      </c>
      <c r="H4" s="58" t="str">
        <f>IF('Data (Master Table)'!$B34 = $K$1, 'Data (Master Table)'!J34, "")</f>
        <v>Medium</v>
      </c>
      <c r="I4" s="58" t="str">
        <f>IF('Data (Master Table)'!$B34 = $K$1, 'Data (Master Table)'!K34, "")</f>
        <v>Medium</v>
      </c>
      <c r="J4" s="59">
        <f>IF('Data (Master Table)'!$B34 = $K$1, 'Data (Master Table)'!L34, "")</f>
        <v>46295</v>
      </c>
      <c r="K4" s="66" t="s">
        <v>84</v>
      </c>
      <c r="L4" s="67">
        <v>5</v>
      </c>
      <c r="M4" s="68" t="s">
        <v>85</v>
      </c>
      <c r="N4" s="68" t="s">
        <v>86</v>
      </c>
      <c r="O4" s="68" t="s">
        <v>87</v>
      </c>
      <c r="P4" s="66" t="s">
        <v>33</v>
      </c>
      <c r="Q4" s="66"/>
      <c r="R4" s="70">
        <v>0.5</v>
      </c>
      <c r="S4" s="66" t="s">
        <v>88</v>
      </c>
    </row>
    <row r="5" spans="1:19" ht="81.75" customHeight="1">
      <c r="A5" s="58" t="str">
        <f>IF('Data (Master Table)'!$B35 = $K$1, 'Data (Master Table)'!C35, "")</f>
        <v>YES</v>
      </c>
      <c r="B5" s="58" t="str">
        <f>IF('Data (Master Table)'!$B35 = $K$1, 'Data (Master Table)'!D35, "")</f>
        <v>Transparency</v>
      </c>
      <c r="C5" s="58" t="str">
        <f>IF('Data (Master Table)'!$B35 = $K$1, 'Data (Master Table)'!E35, "")</f>
        <v>Evidence for funders &amp; partners</v>
      </c>
      <c r="D5" s="58" t="str">
        <f>IF('Data (Master Table)'!$B35 = $K$1, 'Data (Master Table)'!F35, "")</f>
        <v>3–4 informal partnerships; sporadic open days; no structured annual calendar</v>
      </c>
      <c r="E5" s="58" t="str">
        <f>IF('Data (Master Table)'!$B35 = $K$1, 'Data (Master Table)'!G35, "")</f>
        <v>Community / Politics</v>
      </c>
      <c r="F5" s="58" t="str">
        <f>IF('Data (Master Table)'!$B35 = $K$1, 'Data (Master Table)'!H35, "")</f>
        <v>End of March End of June End of Sept</v>
      </c>
      <c r="G5" s="58" t="str">
        <f>IF('Data (Master Table)'!$B35 = $K$1, 'Data (Master Table)'!I35, "")</f>
        <v>Avais</v>
      </c>
      <c r="H5" s="58" t="str">
        <f>IF('Data (Master Table)'!$B35 = $K$1, 'Data (Master Table)'!J35, "")</f>
        <v>Low</v>
      </c>
      <c r="I5" s="58" t="str">
        <f>IF('Data (Master Table)'!$B35 = $K$1, 'Data (Master Table)'!K35, "")</f>
        <v>Medium</v>
      </c>
      <c r="J5" s="59">
        <f>IF('Data (Master Table)'!$B35 = $K$1, 'Data (Master Table)'!L35, "")</f>
        <v>46295</v>
      </c>
      <c r="K5" s="66" t="s">
        <v>89</v>
      </c>
      <c r="L5" s="67">
        <v>3</v>
      </c>
      <c r="M5" s="68" t="s">
        <v>90</v>
      </c>
      <c r="N5" s="68" t="s">
        <v>91</v>
      </c>
      <c r="O5" s="66" t="s">
        <v>92</v>
      </c>
      <c r="P5" s="66" t="s">
        <v>27</v>
      </c>
      <c r="Q5" s="66"/>
      <c r="R5" s="70">
        <v>1</v>
      </c>
      <c r="S5" s="66" t="s">
        <v>93</v>
      </c>
    </row>
    <row r="6" spans="1:19" ht="108">
      <c r="A6" s="58" t="str">
        <f>IF('Data (Master Table)'!$B36 = $K$1, 'Data (Master Table)'!C36, "")</f>
        <v>YES</v>
      </c>
      <c r="B6" s="58" t="str">
        <f>IF('Data (Master Table)'!$B36 = $K$1, 'Data (Master Table)'!D36, "")</f>
        <v>Non-Muslims understand Islam</v>
      </c>
      <c r="C6" s="58" t="str">
        <f>IF('Data (Master Table)'!$B36 = $K$1, 'Data (Master Table)'!E36, "")</f>
        <v>Spreading the Deen and benefitting local community. Islamic stereotypes broken</v>
      </c>
      <c r="D6" s="58" t="str">
        <f>IF('Data (Master Table)'!$B36 = $K$1, 'Data (Master Table)'!F36, "")</f>
        <v>Recruited da'ee group; completing training. Dawah stall equipment and clothing being sourced, branding complete. Awaiting stall permission from Bromley Council</v>
      </c>
      <c r="E6" s="58" t="str">
        <f>IF('Data (Master Table)'!$B36 = $K$1, 'Data (Master Table)'!G36, "")</f>
        <v>Religious Affairs</v>
      </c>
      <c r="F6" s="58" t="str">
        <f>IF('Data (Master Table)'!$B36 = $K$1, 'Data (Master Table)'!H36, "")</f>
        <v>End of March End of June End of Sept</v>
      </c>
      <c r="G6" s="58" t="str">
        <f>IF('Data (Master Table)'!$B36 = $K$1, 'Data (Master Table)'!I36, "")</f>
        <v>Ahmed</v>
      </c>
      <c r="H6" s="58" t="str">
        <f>IF('Data (Master Table)'!$B36 = $K$1, 'Data (Master Table)'!J36, "")</f>
        <v>Low</v>
      </c>
      <c r="I6" s="58" t="str">
        <f>IF('Data (Master Table)'!$B36 = $K$1, 'Data (Master Table)'!K36, "")</f>
        <v>Medium</v>
      </c>
      <c r="J6" s="59">
        <f>IF('Data (Master Table)'!$B36 = $K$1, 'Data (Master Table)'!L36, "")</f>
        <v>46053</v>
      </c>
      <c r="K6" s="66" t="s">
        <v>94</v>
      </c>
      <c r="L6" s="67">
        <v>3</v>
      </c>
      <c r="M6" s="68" t="s">
        <v>95</v>
      </c>
      <c r="N6" s="69" t="s">
        <v>96</v>
      </c>
      <c r="O6" s="66"/>
      <c r="P6" s="66" t="s">
        <v>33</v>
      </c>
      <c r="Q6" s="66"/>
      <c r="R6" s="70">
        <v>0.9</v>
      </c>
      <c r="S6" s="66"/>
    </row>
    <row r="7" spans="1:19" ht="157.5" customHeight="1">
      <c r="A7" s="58" t="str">
        <f>IF('Data (Master Table)'!$B37 = $K$1, 'Data (Master Table)'!C37, "")</f>
        <v>YES</v>
      </c>
      <c r="B7" s="58" t="str">
        <f>IF('Data (Master Table)'!$B37 = $K$1, 'Data (Master Table)'!D37, "")</f>
        <v>Engage and connect with local schools and scouts groups</v>
      </c>
      <c r="C7" s="58" t="str">
        <f>IF('Data (Master Table)'!$B37 = $K$1, 'Data (Master Table)'!E37, "")</f>
        <v>Active daw'ah and increasing Islamic knowledge (including breaking stereotypes) of young local people through immersive experiences</v>
      </c>
      <c r="D7" s="58" t="str">
        <f>IF('Data (Master Table)'!$B37 = $K$1, 'Data (Master Table)'!F37, "")</f>
        <v>School and scouts visits service already active, through school/scout group contact</v>
      </c>
      <c r="E7" s="58" t="str">
        <f>IF('Data (Master Table)'!$B37 = $K$1, 'Data (Master Table)'!G37, "")</f>
        <v>Education</v>
      </c>
      <c r="F7" s="58" t="str">
        <f>IF('Data (Master Table)'!$B37 = $K$1, 'Data (Master Table)'!H37, "")</f>
        <v>End of March End of June End of Sept</v>
      </c>
      <c r="G7" s="58" t="str">
        <f>IF('Data (Master Table)'!$B37 = $K$1, 'Data (Master Table)'!I37, "")</f>
        <v>Sobia</v>
      </c>
      <c r="H7" s="58" t="str">
        <f>IF('Data (Master Table)'!$B37 = $K$1, 'Data (Master Table)'!J37, "")</f>
        <v>Low</v>
      </c>
      <c r="I7" s="58" t="str">
        <f>IF('Data (Master Table)'!$B37 = $K$1, 'Data (Master Table)'!K37, "")</f>
        <v>Medium</v>
      </c>
      <c r="J7" s="59">
        <f>IF('Data (Master Table)'!$B37 = $K$1, 'Data (Master Table)'!L37, "")</f>
        <v>46173</v>
      </c>
      <c r="K7" s="66" t="s">
        <v>97</v>
      </c>
      <c r="L7" s="67">
        <v>6</v>
      </c>
      <c r="M7" s="68" t="s">
        <v>98</v>
      </c>
      <c r="N7" s="69" t="s">
        <v>99</v>
      </c>
      <c r="O7" s="164" t="s">
        <v>100</v>
      </c>
      <c r="P7" s="66" t="s">
        <v>33</v>
      </c>
      <c r="Q7" s="66"/>
      <c r="R7" s="70">
        <v>0.5</v>
      </c>
      <c r="S7" s="66"/>
    </row>
    <row r="8" spans="1:19" ht="188.25" customHeight="1">
      <c r="A8" s="58" t="str">
        <f>IF('Data (Master Table)'!$B38 = $K$1, 'Data (Master Table)'!C38, "")</f>
        <v>YES</v>
      </c>
      <c r="B8" s="58" t="str">
        <f>IF('Data (Master Table)'!$B38 = $K$1, 'Data (Master Table)'!D38, "")</f>
        <v>Deepen relationships and benefit from connections to other faiths</v>
      </c>
      <c r="C8" s="58" t="str">
        <f>IF('Data (Master Table)'!$B38 = $K$1, 'Data (Master Table)'!E38, "")</f>
        <v>Learn from them, teach them about Islam, break stereotypes, aid geo/political dialogues/situations</v>
      </c>
      <c r="D8" s="58" t="str">
        <f>IF('Data (Master Table)'!$B38 = $K$1, 'Data (Master Table)'!F38, "")</f>
        <v>Already esablished long term Interfaith relationships</v>
      </c>
      <c r="E8" s="58" t="str">
        <f>IF('Data (Master Table)'!$B38 = $K$1, 'Data (Master Table)'!G38, "")</f>
        <v>Education</v>
      </c>
      <c r="F8" s="58" t="str">
        <f>IF('Data (Master Table)'!$B38 = $K$1, 'Data (Master Table)'!H38, "")</f>
        <v>End of March End of June End of Sept</v>
      </c>
      <c r="G8" s="58" t="str">
        <f>IF('Data (Master Table)'!$B38 = $K$1, 'Data (Master Table)'!I38, "")</f>
        <v>Sofi</v>
      </c>
      <c r="H8" s="58" t="str">
        <f>IF('Data (Master Table)'!$B38 = $K$1, 'Data (Master Table)'!J38, "")</f>
        <v>Medium</v>
      </c>
      <c r="I8" s="58" t="str">
        <f>IF('Data (Master Table)'!$B38 = $K$1, 'Data (Master Table)'!K38, "")</f>
        <v>High</v>
      </c>
      <c r="J8" s="59">
        <f>IF('Data (Master Table)'!$B38 = $K$1, 'Data (Master Table)'!L38, "")</f>
        <v>46280</v>
      </c>
      <c r="K8" s="66" t="s">
        <v>101</v>
      </c>
      <c r="L8" s="67">
        <v>3</v>
      </c>
      <c r="M8" s="68" t="s">
        <v>102</v>
      </c>
      <c r="N8" s="68" t="s">
        <v>103</v>
      </c>
      <c r="O8" s="164" t="s">
        <v>104</v>
      </c>
      <c r="P8" s="66" t="s">
        <v>33</v>
      </c>
      <c r="Q8" s="66"/>
      <c r="R8" s="70">
        <v>0.5</v>
      </c>
      <c r="S8" s="66"/>
    </row>
    <row r="9" spans="1:19" ht="68.25">
      <c r="A9" s="58" t="str">
        <f>IF('Data (Master Table)'!$B39 = $K$1, 'Data (Master Table)'!C39, "")</f>
        <v>YES</v>
      </c>
      <c r="B9" s="58" t="str">
        <f>IF('Data (Master Table)'!$B39 = $K$1, 'Data (Master Table)'!D39, "")</f>
        <v>Connect with, market, and advertise well with wider community</v>
      </c>
      <c r="C9" s="58" t="str">
        <f>IF('Data (Master Table)'!$B39 = $K$1, 'Data (Master Table)'!E39, "")</f>
        <v>Improved community cohesion</v>
      </c>
      <c r="D9" s="58" t="str">
        <f>IF('Data (Master Table)'!$B39 = $K$1, 'Data (Master Table)'!F39, "")</f>
        <v>Have an existing but out of date and non searchable database. A sharepoint version now exists in SharePoint</v>
      </c>
      <c r="E9" s="58" t="str">
        <f>IF('Data (Master Table)'!$B39 = $K$1, 'Data (Master Table)'!G39, "")</f>
        <v>Community / Politics</v>
      </c>
      <c r="F9" s="58" t="str">
        <f>IF('Data (Master Table)'!$B39 = $K$1, 'Data (Master Table)'!H39, "")</f>
        <v>End of March End of June End of Sept</v>
      </c>
      <c r="G9" s="58" t="str">
        <f>IF('Data (Master Table)'!$B39 = $K$1, 'Data (Master Table)'!I39, "")</f>
        <v>Matiur</v>
      </c>
      <c r="H9" s="58" t="str">
        <f>IF('Data (Master Table)'!$B39 = $K$1, 'Data (Master Table)'!J39, "")</f>
        <v>Medium</v>
      </c>
      <c r="I9" s="58" t="str">
        <f>IF('Data (Master Table)'!$B39 = $K$1, 'Data (Master Table)'!K39, "")</f>
        <v>Medium</v>
      </c>
      <c r="J9" s="59">
        <f>IF('Data (Master Table)'!$B39 = $K$1, 'Data (Master Table)'!L39, "")</f>
        <v>46234</v>
      </c>
      <c r="K9" s="66" t="s">
        <v>105</v>
      </c>
      <c r="L9" s="67">
        <v>1</v>
      </c>
      <c r="M9" s="68"/>
      <c r="N9" s="68"/>
      <c r="P9" s="66" t="s">
        <v>33</v>
      </c>
      <c r="Q9" s="66"/>
      <c r="R9" s="70">
        <v>0.1</v>
      </c>
      <c r="S9" s="66" t="s">
        <v>106</v>
      </c>
    </row>
    <row r="10" spans="1:19">
      <c r="A10" s="58" t="str">
        <f>IF('Data (Master Table)'!$B40 = $K$1, 'Data (Master Table)'!C40, "")</f>
        <v/>
      </c>
      <c r="B10" s="58" t="str">
        <f>IF('Data (Master Table)'!$B40 = $K$1, 'Data (Master Table)'!D40, "")</f>
        <v/>
      </c>
      <c r="C10" s="58" t="str">
        <f>IF('Data (Master Table)'!$B40 = $K$1, 'Data (Master Table)'!E40, "")</f>
        <v/>
      </c>
      <c r="D10" s="58" t="str">
        <f>IF('Data (Master Table)'!$B40 = $K$1, 'Data (Master Table)'!F40, "")</f>
        <v/>
      </c>
      <c r="E10" s="58" t="str">
        <f>IF('Data (Master Table)'!$B40 = $K$1, 'Data (Master Table)'!G40, "")</f>
        <v/>
      </c>
      <c r="F10" s="58" t="str">
        <f>IF('Data (Master Table)'!$B40 = $K$1, 'Data (Master Table)'!H40, "")</f>
        <v/>
      </c>
      <c r="G10" s="58" t="str">
        <f>IF('Data (Master Table)'!$B40 = $K$1, 'Data (Master Table)'!I40, "")</f>
        <v/>
      </c>
      <c r="H10" s="58" t="str">
        <f>IF('Data (Master Table)'!$B40 = $K$1, 'Data (Master Table)'!J40, "")</f>
        <v/>
      </c>
      <c r="I10" s="58" t="str">
        <f>IF('Data (Master Table)'!$B40 = $K$1, 'Data (Master Table)'!K40, "")</f>
        <v/>
      </c>
      <c r="J10" s="59" t="str">
        <f>IF('Data (Master Table)'!$B40 = $K$1, 'Data (Master Table)'!L40, "")</f>
        <v/>
      </c>
      <c r="K10" s="71"/>
      <c r="L10" s="67"/>
      <c r="M10" s="68"/>
      <c r="N10" s="68"/>
      <c r="O10" s="65" t="s">
        <v>107</v>
      </c>
      <c r="P10" s="66"/>
      <c r="Q10" s="66"/>
      <c r="R10" s="70"/>
      <c r="S10" s="66"/>
    </row>
    <row r="11" spans="1:19">
      <c r="A11" s="58" t="str">
        <f>IF('Data (Master Table)'!$B41 = $K$1, 'Data (Master Table)'!C41, "")</f>
        <v/>
      </c>
      <c r="B11" s="58" t="str">
        <f>IF('Data (Master Table)'!$B41 = $K$1, 'Data (Master Table)'!D41, "")</f>
        <v/>
      </c>
      <c r="C11" s="58" t="str">
        <f>IF('Data (Master Table)'!$B41 = $K$1, 'Data (Master Table)'!E41, "")</f>
        <v/>
      </c>
      <c r="D11" s="58" t="str">
        <f>IF('Data (Master Table)'!$B41 = $K$1, 'Data (Master Table)'!F41, "")</f>
        <v/>
      </c>
      <c r="E11" s="58" t="str">
        <f>IF('Data (Master Table)'!$B41 = $K$1, 'Data (Master Table)'!G41, "")</f>
        <v/>
      </c>
      <c r="F11" s="58" t="str">
        <f>IF('Data (Master Table)'!$B41 = $K$1, 'Data (Master Table)'!H41, "")</f>
        <v/>
      </c>
      <c r="G11" s="58" t="str">
        <f>IF('Data (Master Table)'!$B41 = $K$1, 'Data (Master Table)'!I41, "")</f>
        <v/>
      </c>
      <c r="H11" s="58" t="str">
        <f>IF('Data (Master Table)'!$B41 = $K$1, 'Data (Master Table)'!J41, "")</f>
        <v/>
      </c>
      <c r="I11" s="58" t="str">
        <f>IF('Data (Master Table)'!$B41 = $K$1, 'Data (Master Table)'!K41, "")</f>
        <v/>
      </c>
      <c r="J11" s="59" t="str">
        <f>IF('Data (Master Table)'!$B41 = $K$1, 'Data (Master Table)'!L41, "")</f>
        <v/>
      </c>
      <c r="K11" s="71"/>
      <c r="L11" s="67"/>
      <c r="M11" s="68"/>
      <c r="N11" s="68"/>
      <c r="O11" s="68"/>
      <c r="P11" s="66"/>
      <c r="Q11" s="66"/>
      <c r="R11" s="70"/>
      <c r="S11" s="66"/>
    </row>
    <row r="12" spans="1:19">
      <c r="A12" s="58" t="str">
        <f>IF('Data (Master Table)'!$B42 = $K$1, 'Data (Master Table)'!C42, "")</f>
        <v/>
      </c>
      <c r="B12" s="58" t="str">
        <f>IF('Data (Master Table)'!$B42 = $K$1, 'Data (Master Table)'!D42, "")</f>
        <v/>
      </c>
      <c r="C12" s="58" t="str">
        <f>IF('Data (Master Table)'!$B42 = $K$1, 'Data (Master Table)'!E42, "")</f>
        <v/>
      </c>
      <c r="D12" s="58" t="str">
        <f>IF('Data (Master Table)'!$B42 = $K$1, 'Data (Master Table)'!F42, "")</f>
        <v/>
      </c>
      <c r="E12" s="58" t="str">
        <f>IF('Data (Master Table)'!$B42 = $K$1, 'Data (Master Table)'!G42, "")</f>
        <v/>
      </c>
      <c r="F12" s="58" t="str">
        <f>IF('Data (Master Table)'!$B42 = $K$1, 'Data (Master Table)'!H42, "")</f>
        <v/>
      </c>
      <c r="G12" s="58" t="str">
        <f>IF('Data (Master Table)'!$B42 = $K$1, 'Data (Master Table)'!I42, "")</f>
        <v/>
      </c>
      <c r="H12" s="58" t="str">
        <f>IF('Data (Master Table)'!$B42 = $K$1, 'Data (Master Table)'!J42, "")</f>
        <v/>
      </c>
      <c r="I12" s="58" t="str">
        <f>IF('Data (Master Table)'!$B42 = $K$1, 'Data (Master Table)'!K42, "")</f>
        <v/>
      </c>
      <c r="J12" s="59" t="str">
        <f>IF('Data (Master Table)'!$B42 = $K$1, 'Data (Master Table)'!L42, "")</f>
        <v/>
      </c>
      <c r="K12" s="71"/>
      <c r="L12" s="67"/>
      <c r="M12" s="68"/>
      <c r="N12" s="102"/>
      <c r="O12" s="102"/>
      <c r="P12" s="103"/>
      <c r="Q12" s="66"/>
      <c r="R12" s="104"/>
      <c r="S12" s="66"/>
    </row>
    <row r="13" spans="1:19">
      <c r="A13" s="58" t="str">
        <f>IF('Data (Master Table)'!$B43 = $K$1, 'Data (Master Table)'!C43, "")</f>
        <v/>
      </c>
      <c r="B13" s="58" t="str">
        <f>IF('Data (Master Table)'!$B43 = $K$1, 'Data (Master Table)'!D43, "")</f>
        <v/>
      </c>
      <c r="C13" s="58" t="str">
        <f>IF('Data (Master Table)'!$B43 = $K$1, 'Data (Master Table)'!E43, "")</f>
        <v/>
      </c>
      <c r="D13" s="58" t="str">
        <f>IF('Data (Master Table)'!$B43 = $K$1, 'Data (Master Table)'!F43, "")</f>
        <v/>
      </c>
      <c r="E13" s="58" t="str">
        <f>IF('Data (Master Table)'!$B43 = $K$1, 'Data (Master Table)'!G43, "")</f>
        <v/>
      </c>
      <c r="F13" s="58" t="str">
        <f>IF('Data (Master Table)'!$B43 = $K$1, 'Data (Master Table)'!H43, "")</f>
        <v/>
      </c>
      <c r="G13" s="58" t="str">
        <f>IF('Data (Master Table)'!$B43 = $K$1, 'Data (Master Table)'!I43, "")</f>
        <v/>
      </c>
      <c r="H13" s="58" t="str">
        <f>IF('Data (Master Table)'!$B43 = $K$1, 'Data (Master Table)'!J43, "")</f>
        <v/>
      </c>
      <c r="I13" s="58" t="str">
        <f>IF('Data (Master Table)'!$B43 = $K$1, 'Data (Master Table)'!K43, "")</f>
        <v/>
      </c>
      <c r="J13" s="59" t="str">
        <f>IF('Data (Master Table)'!$B43 = $K$1, 'Data (Master Table)'!L43, "")</f>
        <v/>
      </c>
      <c r="K13" s="71"/>
      <c r="L13" s="67"/>
      <c r="M13" s="68"/>
      <c r="N13" s="102"/>
      <c r="O13" s="102"/>
      <c r="P13" s="103"/>
      <c r="Q13" s="66"/>
      <c r="R13" s="104"/>
      <c r="S13" s="66"/>
    </row>
    <row r="14" spans="1:19">
      <c r="A14" s="58" t="str">
        <f>IF('Data (Master Table)'!$B44 = $K$1, 'Data (Master Table)'!C44, "")</f>
        <v/>
      </c>
      <c r="B14" s="58" t="str">
        <f>IF('Data (Master Table)'!$B44 = $K$1, 'Data (Master Table)'!D44, "")</f>
        <v/>
      </c>
      <c r="C14" s="58" t="str">
        <f>IF('Data (Master Table)'!$B44 = $K$1, 'Data (Master Table)'!E44, "")</f>
        <v/>
      </c>
      <c r="D14" s="58" t="str">
        <f>IF('Data (Master Table)'!$B44 = $K$1, 'Data (Master Table)'!F44, "")</f>
        <v/>
      </c>
      <c r="E14" s="58" t="str">
        <f>IF('Data (Master Table)'!$B44 = $K$1, 'Data (Master Table)'!G44, "")</f>
        <v/>
      </c>
      <c r="F14" s="58" t="str">
        <f>IF('Data (Master Table)'!$B44 = $K$1, 'Data (Master Table)'!H44, "")</f>
        <v/>
      </c>
      <c r="G14" s="58" t="str">
        <f>IF('Data (Master Table)'!$B44 = $K$1, 'Data (Master Table)'!I44, "")</f>
        <v/>
      </c>
      <c r="H14" s="58" t="str">
        <f>IF('Data (Master Table)'!$B44 = $K$1, 'Data (Master Table)'!J44, "")</f>
        <v/>
      </c>
      <c r="I14" s="58" t="str">
        <f>IF('Data (Master Table)'!$B44 = $K$1, 'Data (Master Table)'!K44, "")</f>
        <v/>
      </c>
      <c r="J14" s="59" t="str">
        <f>IF('Data (Master Table)'!$B44 = $K$1, 'Data (Master Table)'!L44, "")</f>
        <v/>
      </c>
      <c r="K14" s="71"/>
      <c r="L14" s="67"/>
      <c r="M14" s="68"/>
      <c r="N14" s="102"/>
      <c r="O14" s="102"/>
      <c r="P14" s="103"/>
      <c r="Q14" s="66"/>
      <c r="R14" s="104"/>
      <c r="S14" s="66"/>
    </row>
    <row r="15" spans="1:19">
      <c r="A15" s="58" t="str">
        <f>IF('Data (Master Table)'!$B45 = $K$1, 'Data (Master Table)'!C45, "")</f>
        <v/>
      </c>
      <c r="B15" s="58" t="str">
        <f>IF('Data (Master Table)'!$B45 = $K$1, 'Data (Master Table)'!D45, "")</f>
        <v/>
      </c>
      <c r="C15" s="58" t="str">
        <f>IF('Data (Master Table)'!$B45 = $K$1, 'Data (Master Table)'!E45, "")</f>
        <v/>
      </c>
      <c r="D15" s="58" t="str">
        <f>IF('Data (Master Table)'!$B45 = $K$1, 'Data (Master Table)'!F45, "")</f>
        <v/>
      </c>
      <c r="E15" s="58" t="str">
        <f>IF('Data (Master Table)'!$B45 = $K$1, 'Data (Master Table)'!G45, "")</f>
        <v/>
      </c>
      <c r="F15" s="58" t="str">
        <f>IF('Data (Master Table)'!$B45 = $K$1, 'Data (Master Table)'!H45, "")</f>
        <v/>
      </c>
      <c r="G15" s="58" t="str">
        <f>IF('Data (Master Table)'!$B45 = $K$1, 'Data (Master Table)'!I45, "")</f>
        <v/>
      </c>
      <c r="H15" s="58" t="str">
        <f>IF('Data (Master Table)'!$B45 = $K$1, 'Data (Master Table)'!J45, "")</f>
        <v/>
      </c>
      <c r="I15" s="58" t="str">
        <f>IF('Data (Master Table)'!$B45 = $K$1, 'Data (Master Table)'!K45, "")</f>
        <v/>
      </c>
      <c r="J15" s="59" t="str">
        <f>IF('Data (Master Table)'!$B45 = $K$1, 'Data (Master Table)'!L45, "")</f>
        <v/>
      </c>
      <c r="K15" s="71"/>
      <c r="L15" s="67"/>
      <c r="M15" s="68"/>
      <c r="N15" s="102"/>
      <c r="O15" s="102"/>
      <c r="P15" s="103"/>
      <c r="Q15" s="66"/>
      <c r="R15" s="104"/>
      <c r="S15" s="66"/>
    </row>
    <row r="16" spans="1:19">
      <c r="A16" s="58" t="str">
        <f>IF('Data (Master Table)'!$B46 = $K$1, 'Data (Master Table)'!C46, "")</f>
        <v/>
      </c>
      <c r="B16" s="58" t="str">
        <f>IF('Data (Master Table)'!$B46 = $K$1, 'Data (Master Table)'!D46, "")</f>
        <v/>
      </c>
      <c r="C16" s="58" t="str">
        <f>IF('Data (Master Table)'!$B46 = $K$1, 'Data (Master Table)'!E46, "")</f>
        <v/>
      </c>
      <c r="D16" s="58" t="str">
        <f>IF('Data (Master Table)'!$B46 = $K$1, 'Data (Master Table)'!F46, "")</f>
        <v/>
      </c>
      <c r="E16" s="58" t="str">
        <f>IF('Data (Master Table)'!$B46 = $K$1, 'Data (Master Table)'!G46, "")</f>
        <v/>
      </c>
      <c r="F16" s="58" t="str">
        <f>IF('Data (Master Table)'!$B46 = $K$1, 'Data (Master Table)'!H46, "")</f>
        <v/>
      </c>
      <c r="G16" s="58" t="str">
        <f>IF('Data (Master Table)'!$B46 = $K$1, 'Data (Master Table)'!I46, "")</f>
        <v/>
      </c>
      <c r="H16" s="58" t="str">
        <f>IF('Data (Master Table)'!$B46 = $K$1, 'Data (Master Table)'!J46, "")</f>
        <v/>
      </c>
      <c r="I16" s="58" t="str">
        <f>IF('Data (Master Table)'!$B46 = $K$1, 'Data (Master Table)'!K46, "")</f>
        <v/>
      </c>
      <c r="J16" s="59" t="str">
        <f>IF('Data (Master Table)'!$B46 = $K$1, 'Data (Master Table)'!L46, "")</f>
        <v/>
      </c>
      <c r="K16" s="71"/>
      <c r="L16" s="67"/>
      <c r="M16" s="68"/>
      <c r="N16" s="102"/>
      <c r="O16" s="102"/>
      <c r="P16" s="103"/>
      <c r="Q16" s="66"/>
      <c r="R16" s="104"/>
      <c r="S16" s="66"/>
    </row>
    <row r="17" spans="2:19">
      <c r="B17" s="105"/>
      <c r="C17" s="106"/>
      <c r="D17" s="106"/>
      <c r="E17" s="106"/>
      <c r="F17" s="105"/>
      <c r="G17" s="105"/>
      <c r="H17" s="105"/>
      <c r="I17" s="105"/>
      <c r="J17" s="107"/>
      <c r="K17" s="108"/>
      <c r="L17" s="109"/>
      <c r="M17" s="110"/>
      <c r="N17" s="111"/>
      <c r="O17" s="111"/>
      <c r="P17" s="112"/>
      <c r="Q17" s="110"/>
      <c r="R17" s="113"/>
      <c r="S17" s="110"/>
    </row>
    <row r="18" spans="2:19">
      <c r="B18" s="105"/>
      <c r="C18" s="106"/>
      <c r="D18" s="106"/>
      <c r="E18" s="106"/>
      <c r="F18" s="105"/>
      <c r="G18" s="105"/>
      <c r="H18" s="105"/>
      <c r="I18" s="105"/>
      <c r="J18" s="107"/>
      <c r="K18" s="108"/>
      <c r="L18" s="109"/>
      <c r="M18" s="110"/>
      <c r="N18" s="111"/>
      <c r="O18" s="111"/>
      <c r="P18" s="112"/>
      <c r="Q18" s="110"/>
      <c r="R18" s="113"/>
      <c r="S18" s="110"/>
    </row>
    <row r="19" spans="2:19">
      <c r="O19" s="65" t="s">
        <v>108</v>
      </c>
    </row>
    <row r="20" spans="2:19">
      <c r="P20" s="75" t="s">
        <v>109</v>
      </c>
    </row>
  </sheetData>
  <sheetProtection sheet="1" objects="1" scenarios="1" formatCells="0" formatColumns="0" formatRows="0" insertColumns="0" insertRows="0" insertHyperlinks="0" sort="0" autoFilter="0" pivotTables="0"/>
  <mergeCells count="1">
    <mergeCell ref="K1:S1"/>
  </mergeCells>
  <conditionalFormatting sqref="A3:S6 A7:N10 P7:S10 A11:S16">
    <cfRule type="expression" dxfId="34" priority="1">
      <formula>$A3= "NO"</formula>
    </cfRule>
  </conditionalFormatting>
  <conditionalFormatting sqref="R1:R1048576">
    <cfRule type="colorScale" priority="9">
      <colorScale>
        <cfvo type="min"/>
        <cfvo type="percentile" val="50"/>
        <cfvo type="max"/>
        <color rgb="FFF8696B"/>
        <color rgb="FFFFEB84"/>
        <color rgb="FF63BE7B"/>
      </colorScale>
    </cfRule>
  </conditionalFormatting>
  <dataValidations count="2">
    <dataValidation type="list" allowBlank="1" showInputMessage="1" showErrorMessage="1" sqref="F186:K199" xr:uid="{A2398394-C8DC-3E46-A0EB-E8C06E1C7112}">
      <formula1>"Low,Medium,High"</formula1>
    </dataValidation>
    <dataValidation allowBlank="1" showInputMessage="1" showErrorMessage="1" sqref="S4:S1048576 Q1:Q1048576 S1:S2 L1:N1048576 O1:O6 O11:O1048576" xr:uid="{7A67F1FD-70E5-4CBC-8144-EDECF03815ED}"/>
  </dataValidations>
  <pageMargins left="0.75" right="0.75" top="1" bottom="1" header="0.5" footer="0.5"/>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 operator="equal" id="{08769C28-40FC-8545-8D26-21B30CF89A59}">
            <xm:f>'Data (Master Table)'!$AC$5</xm:f>
            <x14:dxf>
              <font>
                <b/>
                <i val="0"/>
              </font>
              <fill>
                <patternFill>
                  <bgColor rgb="FF92D050"/>
                </patternFill>
              </fill>
            </x14:dxf>
          </x14:cfRule>
          <x14:cfRule type="cellIs" priority="3" operator="equal" id="{D80CBFB5-9FB1-FF4D-B14E-E2FCAC39874F}">
            <xm:f>'Data (Master Table)'!$AC$4</xm:f>
            <x14:dxf>
              <font>
                <b/>
                <i val="0"/>
              </font>
              <fill>
                <patternFill>
                  <bgColor rgb="FFFFC000"/>
                </patternFill>
              </fill>
            </x14:dxf>
          </x14:cfRule>
          <x14:cfRule type="cellIs" priority="4" operator="equal" id="{93199F3C-F411-E146-9D6A-0A33DB46D67C}">
            <xm:f>'Data (Master Table)'!$AC$3</xm:f>
            <x14:dxf>
              <font>
                <b/>
                <i val="0"/>
              </font>
              <fill>
                <patternFill>
                  <bgColor rgb="FFFF0000"/>
                </patternFill>
              </fill>
            </x14:dxf>
          </x14:cfRule>
          <xm:sqref>H2:I10000</xm:sqref>
        </x14:conditionalFormatting>
        <x14:conditionalFormatting xmlns:xm="http://schemas.microsoft.com/office/excel/2006/main">
          <x14:cfRule type="cellIs" priority="5" operator="equal" id="{2524CB7F-C74F-8441-ACB1-D9B2A3A016BD}">
            <xm:f>'Data (Master Table)'!$Y$6</xm:f>
            <x14:dxf>
              <fill>
                <patternFill>
                  <bgColor rgb="FFFFFF00"/>
                </patternFill>
              </fill>
            </x14:dxf>
          </x14:cfRule>
          <x14:cfRule type="cellIs" priority="6" operator="equal" id="{10996300-4BE9-EE40-99B3-BF8600C6FA85}">
            <xm:f>'Data (Master Table)'!$Y$3</xm:f>
            <x14:dxf>
              <fill>
                <patternFill>
                  <bgColor theme="0" tint="-0.24994659260841701"/>
                </patternFill>
              </fill>
            </x14:dxf>
          </x14:cfRule>
          <x14:cfRule type="cellIs" priority="7" operator="equal" id="{D48421DE-7D6C-E740-BA89-FFFF1B7C06B7}">
            <xm:f>'Data (Master Table)'!$Y$5</xm:f>
            <x14:dxf>
              <fill>
                <patternFill>
                  <bgColor rgb="FF92D050"/>
                </patternFill>
              </fill>
            </x14:dxf>
          </x14:cfRule>
          <x14:cfRule type="cellIs" priority="8" operator="equal" id="{9FAFFE09-7FEC-C84B-8214-B7E47CCC1A57}">
            <xm:f>'Data (Master Table)'!$Y$4</xm:f>
            <x14:dxf>
              <fill>
                <patternFill>
                  <bgColor theme="3" tint="0.59996337778862885"/>
                </patternFill>
              </fill>
            </x14:dxf>
          </x14:cfRule>
          <xm:sqref>P1:P1048576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469E0C5-B6B8-6446-818A-C1C8C11F1CBA}">
          <x14:formula1>
            <xm:f>'Data (Master Table)'!$Y$3:$Y$17</xm:f>
          </x14:formula1>
          <xm:sqref>P1 P3:P1048576</xm:sqref>
        </x14:dataValidation>
        <x14:dataValidation type="list" allowBlank="1" showInputMessage="1" showErrorMessage="1" xr:uid="{2277F138-29CB-DE4C-84EC-6B96820B3DF2}">
          <x14:formula1>
            <xm:f>'Data (Master Table)'!$AA$3:$AA$13</xm:f>
          </x14:formula1>
          <xm:sqref>R1 R3:R1048576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E81E4-D8B6-7A4D-9A3F-3FD0665966EA}">
  <sheetPr>
    <tabColor theme="5" tint="0.39997558519241921"/>
  </sheetPr>
  <dimension ref="A1:DG16"/>
  <sheetViews>
    <sheetView tabSelected="1" zoomScale="80" zoomScaleNormal="80" workbookViewId="0">
      <pane xSplit="10" ySplit="2" topLeftCell="Q5" activePane="bottomRight" state="frozen"/>
      <selection pane="bottomRight" activeCell="S5" sqref="S5"/>
      <selection pane="bottomLeft" activeCell="A3" sqref="A3"/>
      <selection pane="topRight" activeCell="J1" sqref="J1"/>
    </sheetView>
  </sheetViews>
  <sheetFormatPr defaultColWidth="8.85546875" defaultRowHeight="15" customHeight="1"/>
  <cols>
    <col min="1" max="1" width="8.85546875" style="65"/>
    <col min="2" max="2" width="15" customWidth="1"/>
    <col min="3" max="3" width="19.28515625" style="4" customWidth="1"/>
    <col min="4" max="4" width="27" style="4" customWidth="1"/>
    <col min="5" max="5" width="17.140625" style="4" customWidth="1"/>
    <col min="6" max="6" width="14.140625" customWidth="1"/>
    <col min="7" max="7" width="17.140625" customWidth="1"/>
    <col min="8" max="8" width="10.7109375" bestFit="1" customWidth="1"/>
    <col min="9" max="9" width="15" customWidth="1"/>
    <col min="10" max="10" width="18.85546875" style="57" customWidth="1"/>
    <col min="11" max="11" width="21.28515625" style="73" customWidth="1"/>
    <col min="12" max="12" width="13" style="74" customWidth="1"/>
    <col min="13" max="13" width="29.140625" style="72" customWidth="1"/>
    <col min="14" max="14" width="23.28515625" style="65" customWidth="1"/>
    <col min="15" max="15" width="31.42578125" style="65" customWidth="1"/>
    <col min="16" max="16" width="17.140625" style="75" customWidth="1"/>
    <col min="17" max="17" width="15.140625" style="72" customWidth="1"/>
    <col min="18" max="18" width="12" style="76" customWidth="1"/>
    <col min="19" max="19" width="44.85546875" style="72" customWidth="1"/>
    <col min="112" max="16384" width="8.85546875" style="65"/>
  </cols>
  <sheetData>
    <row r="1" spans="1:19" customFormat="1" ht="25.5">
      <c r="A1" s="81" t="s">
        <v>110</v>
      </c>
      <c r="B1" s="81"/>
      <c r="C1" s="82"/>
      <c r="D1" s="82"/>
      <c r="E1" s="82"/>
      <c r="F1" s="82"/>
      <c r="G1" s="82"/>
      <c r="H1" s="82"/>
      <c r="I1" s="82"/>
      <c r="J1" s="83"/>
      <c r="K1" s="166" t="str">
        <f>'Data (Master Table)'!W6</f>
        <v>Building Teams &amp; Leadership</v>
      </c>
      <c r="L1" s="166"/>
      <c r="M1" s="166"/>
      <c r="N1" s="166"/>
      <c r="O1" s="166"/>
      <c r="P1" s="166"/>
      <c r="Q1" s="166"/>
      <c r="R1" s="166"/>
      <c r="S1" s="166"/>
    </row>
    <row r="2" spans="1:19" s="64" customFormat="1" ht="62.25" customHeight="1">
      <c r="A2" s="117" t="str">
        <f>'Data (Master Table)'!C2</f>
        <v>IS
VALID</v>
      </c>
      <c r="B2" s="117" t="str">
        <f>'Data (Master Table)'!D2</f>
        <v>SMART Outcome</v>
      </c>
      <c r="C2" s="117" t="str">
        <f>'Data (Master Table)'!E2</f>
        <v>Benefit</v>
      </c>
      <c r="D2" s="117" t="str">
        <f>'Data (Master Table)'!F2</f>
        <v>Starting Point / Baseline</v>
      </c>
      <c r="E2" s="117" t="str">
        <f>'Data (Master Table)'!G2</f>
        <v>Department</v>
      </c>
      <c r="F2" s="117" t="str">
        <f>'Data (Master Table)'!H2</f>
        <v>Reported to OPEX</v>
      </c>
      <c r="G2" s="117" t="str">
        <f>'Data (Master Table)'!I2</f>
        <v>Responsible Person</v>
      </c>
      <c r="H2" s="117" t="str">
        <f>'Data (Master Table)'!J2</f>
        <v>Risk Level</v>
      </c>
      <c r="I2" s="117" t="str">
        <f>'Data (Master Table)'!K2</f>
        <v>Risk if Not Achieved</v>
      </c>
      <c r="J2" s="118" t="str">
        <f>'Data (Master Table)'!L2</f>
        <v>Target Date</v>
      </c>
      <c r="K2" s="118" t="str">
        <f>'Data (Master Table)'!M2</f>
        <v>Specific Desired Outcome</v>
      </c>
      <c r="L2" s="119" t="str">
        <f>'Data (Master Table)'!N2</f>
        <v>Milestone Count</v>
      </c>
      <c r="M2" s="118" t="str">
        <f>'Data (Master Table)'!O2</f>
        <v>Milestone/s</v>
      </c>
      <c r="N2" s="118" t="str">
        <f>'Data (Master Table)'!P2</f>
        <v>Milestone/s Date</v>
      </c>
      <c r="O2" s="118" t="str">
        <f>'Data (Master Table)'!Q2</f>
        <v>Actions</v>
      </c>
      <c r="P2" s="118" t="str">
        <f>'Data (Master Table)'!R2</f>
        <v>Status</v>
      </c>
      <c r="Q2" s="118" t="str">
        <f>'Data (Master Table)'!S2</f>
        <v>Reason for Delay</v>
      </c>
      <c r="R2" s="120" t="str">
        <f>'Data (Master Table)'!T2</f>
        <v>Complete %</v>
      </c>
      <c r="S2" s="118" t="str">
        <f>'Data (Master Table)'!U2</f>
        <v>Notes</v>
      </c>
    </row>
    <row r="3" spans="1:19" ht="226.5" customHeight="1">
      <c r="A3" s="58" t="str">
        <f>IF('Data (Master Table)'!$B48 = $K$1, 'Data (Master Table)'!C48, "")</f>
        <v>YES</v>
      </c>
      <c r="B3" s="58" t="str">
        <f>IF('Data (Master Table)'!$B48 = $K$1, 'Data (Master Table)'!D48, "")</f>
        <v>Competence &amp; compliance</v>
      </c>
      <c r="C3" s="58" t="str">
        <f>IF('Data (Master Table)'!$B48 = $K$1, 'Data (Master Table)'!E48, "")</f>
        <v>Risk reduction; improved leadership</v>
      </c>
      <c r="D3" s="58" t="str">
        <f>IF('Data (Master Table)'!$B48 = $K$1, 'Data (Master Table)'!F48, "")</f>
        <v>Partial ad-hoc training coverage</v>
      </c>
      <c r="E3" s="58" t="str">
        <f>IF('Data (Master Table)'!$B48 = $K$1, 'Data (Master Table)'!G48, "")</f>
        <v>OPEX</v>
      </c>
      <c r="F3" s="58" t="str">
        <f>IF('Data (Master Table)'!$B48 = $K$1, 'Data (Master Table)'!H48, "")</f>
        <v>End of March End of June End of Sept</v>
      </c>
      <c r="G3" s="58" t="str">
        <f>IF('Data (Master Table)'!$B48 = $K$1, 'Data (Master Table)'!I48, "")</f>
        <v>Amer</v>
      </c>
      <c r="H3" s="58" t="str">
        <f>IF('Data (Master Table)'!$B48 = $K$1, 'Data (Master Table)'!J48, "")</f>
        <v>Medium</v>
      </c>
      <c r="I3" s="58" t="str">
        <f>IF('Data (Master Table)'!$B48 = $K$1, 'Data (Master Table)'!K48, "")</f>
        <v>High</v>
      </c>
      <c r="J3" s="59">
        <f>IF('Data (Master Table)'!$B48 = $K$1, 'Data (Master Table)'!L48, "")</f>
        <v>46203</v>
      </c>
      <c r="K3" s="66" t="s">
        <v>111</v>
      </c>
      <c r="L3" s="67">
        <v>1</v>
      </c>
      <c r="M3" s="68" t="s">
        <v>112</v>
      </c>
      <c r="N3" s="69" t="s">
        <v>113</v>
      </c>
      <c r="O3" s="66" t="s">
        <v>114</v>
      </c>
      <c r="P3" s="66" t="s">
        <v>33</v>
      </c>
      <c r="Q3" s="66"/>
      <c r="R3" s="70">
        <v>0.6</v>
      </c>
      <c r="S3" s="66" t="s">
        <v>115</v>
      </c>
    </row>
    <row r="4" spans="1:19" ht="213">
      <c r="A4" s="58" t="str">
        <f>IF('Data (Master Table)'!$B49 = $K$1, 'Data (Master Table)'!C49, "")</f>
        <v>YES</v>
      </c>
      <c r="B4" s="58" t="str">
        <f>IF('Data (Master Table)'!$B49 = $K$1, 'Data (Master Table)'!D49, "")</f>
        <v>Onboarding excellence</v>
      </c>
      <c r="C4" s="58" t="str">
        <f>IF('Data (Master Table)'!$B49 = $K$1, 'Data (Master Table)'!E49, "")</f>
        <v>Faster integration; safety</v>
      </c>
      <c r="D4" s="58" t="str">
        <f>IF('Data (Master Table)'!$B49 = $K$1, 'Data (Master Table)'!F49, "")</f>
        <v>Onboarding is informal</v>
      </c>
      <c r="E4" s="58" t="str">
        <f>IF('Data (Master Table)'!$B49 = $K$1, 'Data (Master Table)'!G49, "")</f>
        <v>OPEX</v>
      </c>
      <c r="F4" s="58" t="str">
        <f>IF('Data (Master Table)'!$B49 = $K$1, 'Data (Master Table)'!H49, "")</f>
        <v>End of March End of June End of Sept</v>
      </c>
      <c r="G4" s="58" t="str">
        <f>IF('Data (Master Table)'!$B49 = $K$1, 'Data (Master Table)'!I49, "")</f>
        <v>Amer</v>
      </c>
      <c r="H4" s="58" t="str">
        <f>IF('Data (Master Table)'!$B49 = $K$1, 'Data (Master Table)'!J49, "")</f>
        <v>Low</v>
      </c>
      <c r="I4" s="58" t="str">
        <f>IF('Data (Master Table)'!$B49 = $K$1, 'Data (Master Table)'!K49, "")</f>
        <v>Medium</v>
      </c>
      <c r="J4" s="59">
        <f>IF('Data (Master Table)'!$B49 = $K$1, 'Data (Master Table)'!L49, "")</f>
        <v>46142</v>
      </c>
      <c r="K4" s="66" t="s">
        <v>116</v>
      </c>
      <c r="L4" s="67">
        <v>5</v>
      </c>
      <c r="M4" s="68" t="s">
        <v>117</v>
      </c>
      <c r="N4" s="68" t="s">
        <v>118</v>
      </c>
      <c r="O4" s="66" t="s">
        <v>119</v>
      </c>
      <c r="P4" s="66" t="s">
        <v>33</v>
      </c>
      <c r="Q4" s="66" t="s">
        <v>120</v>
      </c>
      <c r="R4" s="70">
        <v>0.3</v>
      </c>
      <c r="S4" s="66" t="s">
        <v>121</v>
      </c>
    </row>
    <row r="5" spans="1:19" ht="244.5">
      <c r="A5" s="58" t="str">
        <f>IF('Data (Master Table)'!$B50 = $K$1, 'Data (Master Table)'!C50, "")</f>
        <v>YES</v>
      </c>
      <c r="B5" s="58" t="str">
        <f>IF('Data (Master Table)'!$B50 = $K$1, 'Data (Master Table)'!D50, "")</f>
        <v>Volunteer attraction and  retention</v>
      </c>
      <c r="C5" s="58" t="str">
        <f>IF('Data (Master Table)'!$B50 = $K$1, 'Data (Master Table)'!E50, "")</f>
        <v>Staff retention &amp; morale</v>
      </c>
      <c r="D5" s="58" t="str">
        <f>IF('Data (Master Table)'!$B50 = $K$1, 'Data (Master Table)'!F50, "")</f>
        <v>Volunteers praised by Leaders, Volunteer yearly event</v>
      </c>
      <c r="E5" s="58" t="str">
        <f>IF('Data (Master Table)'!$B50 = $K$1, 'Data (Master Table)'!G50, "")</f>
        <v>OPEX</v>
      </c>
      <c r="F5" s="58" t="str">
        <f>IF('Data (Master Table)'!$B50 = $K$1, 'Data (Master Table)'!H50, "")</f>
        <v>End of March End of June End of Sept</v>
      </c>
      <c r="G5" s="58" t="str">
        <f>IF('Data (Master Table)'!$B50 = $K$1, 'Data (Master Table)'!I50, "")</f>
        <v>Amer</v>
      </c>
      <c r="H5" s="58" t="str">
        <f>IF('Data (Master Table)'!$B50 = $K$1, 'Data (Master Table)'!J50, "")</f>
        <v>Medium</v>
      </c>
      <c r="I5" s="58" t="str">
        <f>IF('Data (Master Table)'!$B50 = $K$1, 'Data (Master Table)'!K50, "")</f>
        <v>High</v>
      </c>
      <c r="J5" s="59">
        <f>IF('Data (Master Table)'!$B50 = $K$1, 'Data (Master Table)'!L50, "")</f>
        <v>46053</v>
      </c>
      <c r="K5" s="66" t="s">
        <v>122</v>
      </c>
      <c r="L5" s="67">
        <v>3</v>
      </c>
      <c r="M5" s="68" t="s">
        <v>123</v>
      </c>
      <c r="N5" s="68" t="s">
        <v>124</v>
      </c>
      <c r="O5" s="66" t="s">
        <v>125</v>
      </c>
      <c r="P5" s="66" t="s">
        <v>33</v>
      </c>
      <c r="Q5" s="66" t="s">
        <v>126</v>
      </c>
      <c r="R5" s="70">
        <v>0.8</v>
      </c>
      <c r="S5" s="66" t="s">
        <v>127</v>
      </c>
    </row>
    <row r="6" spans="1:19" ht="137.25">
      <c r="A6" s="58" t="str">
        <f>IF('Data (Master Table)'!$B51 = $K$1, 'Data (Master Table)'!C51, "")</f>
        <v>YES</v>
      </c>
      <c r="B6" s="58" t="str">
        <f>IF('Data (Master Table)'!$B51 = $K$1, 'Data (Master Table)'!D51, "")</f>
        <v>Improved performance in key areas</v>
      </c>
      <c r="C6" s="58" t="str">
        <f>IF('Data (Master Table)'!$B51 = $K$1, 'Data (Master Table)'!E51, "")</f>
        <v>Make important functions work better, prevent burnout</v>
      </c>
      <c r="D6" s="58" t="str">
        <f>IF('Data (Master Table)'!$B51 = $K$1, 'Data (Master Table)'!F51, "")</f>
        <v>Digital, Marketing and Outreach teams limited human resources</v>
      </c>
      <c r="E6" s="58" t="str">
        <f>IF('Data (Master Table)'!$B51 = $K$1, 'Data (Master Table)'!G51, "")</f>
        <v>OPEX</v>
      </c>
      <c r="F6" s="58" t="str">
        <f>IF('Data (Master Table)'!$B51 = $K$1, 'Data (Master Table)'!H51, "")</f>
        <v>End of March End of June End of Sept</v>
      </c>
      <c r="G6" s="58" t="str">
        <f>IF('Data (Master Table)'!$B51 = $K$1, 'Data (Master Table)'!I51, "")</f>
        <v>Amer</v>
      </c>
      <c r="H6" s="58" t="str">
        <f>IF('Data (Master Table)'!$B51 = $K$1, 'Data (Master Table)'!J51, "")</f>
        <v>High</v>
      </c>
      <c r="I6" s="58" t="str">
        <f>IF('Data (Master Table)'!$B51 = $K$1, 'Data (Master Table)'!K51, "")</f>
        <v>High</v>
      </c>
      <c r="J6" s="59">
        <f>IF('Data (Master Table)'!$B51 = $K$1, 'Data (Master Table)'!L51, "")</f>
        <v>46203</v>
      </c>
      <c r="K6" s="66" t="s">
        <v>128</v>
      </c>
      <c r="L6" s="67">
        <v>3</v>
      </c>
      <c r="M6" s="68" t="s">
        <v>129</v>
      </c>
      <c r="N6" s="69" t="s">
        <v>130</v>
      </c>
      <c r="O6" s="66" t="s">
        <v>131</v>
      </c>
      <c r="P6" s="66" t="s">
        <v>33</v>
      </c>
      <c r="Q6" s="66" t="s">
        <v>132</v>
      </c>
      <c r="R6" s="70">
        <v>0.5</v>
      </c>
      <c r="S6" s="66" t="s">
        <v>133</v>
      </c>
    </row>
    <row r="7" spans="1:19">
      <c r="A7" s="58" t="str">
        <f>IF('Data (Master Table)'!$B52 = $K$1, 'Data (Master Table)'!C52, "")</f>
        <v/>
      </c>
      <c r="B7" s="58" t="str">
        <f>IF('Data (Master Table)'!$B52 = $K$1, 'Data (Master Table)'!D52, "")</f>
        <v/>
      </c>
      <c r="C7" s="58" t="str">
        <f>IF('Data (Master Table)'!$B52 = $K$1, 'Data (Master Table)'!E52, "")</f>
        <v/>
      </c>
      <c r="D7" s="58" t="str">
        <f>IF('Data (Master Table)'!$B52 = $K$1, 'Data (Master Table)'!F52, "")</f>
        <v/>
      </c>
      <c r="E7" s="58" t="str">
        <f>IF('Data (Master Table)'!$B52 = $K$1, 'Data (Master Table)'!G52, "")</f>
        <v/>
      </c>
      <c r="F7" s="58" t="str">
        <f>IF('Data (Master Table)'!$B52 = $K$1, 'Data (Master Table)'!H52, "")</f>
        <v/>
      </c>
      <c r="G7" s="58" t="str">
        <f>IF('Data (Master Table)'!$B52 = $K$1, 'Data (Master Table)'!I52, "")</f>
        <v/>
      </c>
      <c r="H7" s="58" t="str">
        <f>IF('Data (Master Table)'!$B52 = $K$1, 'Data (Master Table)'!J52, "")</f>
        <v/>
      </c>
      <c r="I7" s="58" t="str">
        <f>IF('Data (Master Table)'!$B52 = $K$1, 'Data (Master Table)'!K52, "")</f>
        <v/>
      </c>
      <c r="J7" s="59" t="str">
        <f>IF('Data (Master Table)'!$B52 = $K$1, 'Data (Master Table)'!L52, "")</f>
        <v/>
      </c>
      <c r="K7" s="66"/>
      <c r="L7" s="67"/>
      <c r="M7" s="68"/>
      <c r="N7" s="69"/>
      <c r="O7" s="66"/>
      <c r="P7" s="66"/>
      <c r="Q7" s="66"/>
      <c r="R7" s="70"/>
      <c r="S7" s="66"/>
    </row>
    <row r="8" spans="1:19">
      <c r="A8" s="58" t="str">
        <f>IF('Data (Master Table)'!$B53 = $K$1, 'Data (Master Table)'!C53, "")</f>
        <v/>
      </c>
      <c r="B8" s="58" t="str">
        <f>IF('Data (Master Table)'!$B53 = $K$1, 'Data (Master Table)'!D53, "")</f>
        <v/>
      </c>
      <c r="C8" s="58" t="str">
        <f>IF('Data (Master Table)'!$B53 = $K$1, 'Data (Master Table)'!E53, "")</f>
        <v/>
      </c>
      <c r="D8" s="58" t="str">
        <f>IF('Data (Master Table)'!$B53 = $K$1, 'Data (Master Table)'!F53, "")</f>
        <v/>
      </c>
      <c r="E8" s="58" t="str">
        <f>IF('Data (Master Table)'!$B53 = $K$1, 'Data (Master Table)'!G53, "")</f>
        <v/>
      </c>
      <c r="F8" s="58" t="str">
        <f>IF('Data (Master Table)'!$B53 = $K$1, 'Data (Master Table)'!H53, "")</f>
        <v/>
      </c>
      <c r="G8" s="58" t="str">
        <f>IF('Data (Master Table)'!$B53 = $K$1, 'Data (Master Table)'!I53, "")</f>
        <v/>
      </c>
      <c r="H8" s="58" t="str">
        <f>IF('Data (Master Table)'!$B53 = $K$1, 'Data (Master Table)'!J53, "")</f>
        <v/>
      </c>
      <c r="I8" s="58" t="str">
        <f>IF('Data (Master Table)'!$B53 = $K$1, 'Data (Master Table)'!K53, "")</f>
        <v/>
      </c>
      <c r="J8" s="59" t="str">
        <f>IF('Data (Master Table)'!$B53 = $K$1, 'Data (Master Table)'!L53, "")</f>
        <v/>
      </c>
      <c r="K8" s="71"/>
      <c r="L8" s="67"/>
      <c r="M8" s="68"/>
      <c r="N8" s="68"/>
      <c r="O8" s="68"/>
      <c r="P8" s="66"/>
      <c r="Q8" s="66"/>
      <c r="R8" s="70"/>
      <c r="S8" s="66"/>
    </row>
    <row r="9" spans="1:19">
      <c r="A9" s="58" t="str">
        <f>IF('Data (Master Table)'!$B54 = $K$1, 'Data (Master Table)'!C54, "")</f>
        <v/>
      </c>
      <c r="B9" s="58" t="str">
        <f>IF('Data (Master Table)'!$B54 = $K$1, 'Data (Master Table)'!D54, "")</f>
        <v/>
      </c>
      <c r="C9" s="58" t="str">
        <f>IF('Data (Master Table)'!$B54 = $K$1, 'Data (Master Table)'!E54, "")</f>
        <v/>
      </c>
      <c r="D9" s="58" t="str">
        <f>IF('Data (Master Table)'!$B54 = $K$1, 'Data (Master Table)'!F54, "")</f>
        <v/>
      </c>
      <c r="E9" s="58" t="str">
        <f>IF('Data (Master Table)'!$B54 = $K$1, 'Data (Master Table)'!G54, "")</f>
        <v/>
      </c>
      <c r="F9" s="58" t="str">
        <f>IF('Data (Master Table)'!$B54 = $K$1, 'Data (Master Table)'!H54, "")</f>
        <v/>
      </c>
      <c r="G9" s="58" t="str">
        <f>IF('Data (Master Table)'!$B54 = $K$1, 'Data (Master Table)'!I54, "")</f>
        <v/>
      </c>
      <c r="H9" s="58" t="str">
        <f>IF('Data (Master Table)'!$B54 = $K$1, 'Data (Master Table)'!J54, "")</f>
        <v/>
      </c>
      <c r="I9" s="58" t="str">
        <f>IF('Data (Master Table)'!$B54 = $K$1, 'Data (Master Table)'!K54, "")</f>
        <v/>
      </c>
      <c r="J9" s="59" t="str">
        <f>IF('Data (Master Table)'!$B54 = $K$1, 'Data (Master Table)'!L54, "")</f>
        <v/>
      </c>
      <c r="K9" s="71"/>
      <c r="L9" s="67"/>
      <c r="M9" s="68"/>
      <c r="N9" s="68"/>
      <c r="O9" s="68"/>
      <c r="P9" s="66"/>
      <c r="Q9" s="66"/>
      <c r="R9" s="70"/>
      <c r="S9" s="66"/>
    </row>
    <row r="10" spans="1:19">
      <c r="A10" s="58" t="str">
        <f>IF('Data (Master Table)'!$B55 = $K$1, 'Data (Master Table)'!C55, "")</f>
        <v/>
      </c>
      <c r="B10" s="58" t="str">
        <f>IF('Data (Master Table)'!$B55 = $K$1, 'Data (Master Table)'!D55, "")</f>
        <v/>
      </c>
      <c r="C10" s="58" t="str">
        <f>IF('Data (Master Table)'!$B55 = $K$1, 'Data (Master Table)'!E55, "")</f>
        <v/>
      </c>
      <c r="D10" s="58" t="str">
        <f>IF('Data (Master Table)'!$B55 = $K$1, 'Data (Master Table)'!F55, "")</f>
        <v/>
      </c>
      <c r="E10" s="58" t="str">
        <f>IF('Data (Master Table)'!$B55 = $K$1, 'Data (Master Table)'!G55, "")</f>
        <v/>
      </c>
      <c r="F10" s="58" t="str">
        <f>IF('Data (Master Table)'!$B55 = $K$1, 'Data (Master Table)'!H55, "")</f>
        <v/>
      </c>
      <c r="G10" s="58" t="str">
        <f>IF('Data (Master Table)'!$B55 = $K$1, 'Data (Master Table)'!I55, "")</f>
        <v/>
      </c>
      <c r="H10" s="58" t="str">
        <f>IF('Data (Master Table)'!$B55 = $K$1, 'Data (Master Table)'!J55, "")</f>
        <v/>
      </c>
      <c r="I10" s="58" t="str">
        <f>IF('Data (Master Table)'!$B55 = $K$1, 'Data (Master Table)'!K55, "")</f>
        <v/>
      </c>
      <c r="J10" s="59" t="str">
        <f>IF('Data (Master Table)'!$B55 = $K$1, 'Data (Master Table)'!L55, "")</f>
        <v/>
      </c>
      <c r="K10" s="71"/>
      <c r="L10" s="67"/>
      <c r="M10" s="68"/>
      <c r="N10" s="68"/>
      <c r="O10" s="68"/>
      <c r="P10" s="66"/>
      <c r="Q10" s="66"/>
      <c r="R10" s="70"/>
      <c r="S10" s="66"/>
    </row>
    <row r="11" spans="1:19">
      <c r="A11" s="58" t="str">
        <f>IF('Data (Master Table)'!$B56 = $K$1, 'Data (Master Table)'!C56, "")</f>
        <v/>
      </c>
      <c r="B11" s="58" t="str">
        <f>IF('Data (Master Table)'!$B56 = $K$1, 'Data (Master Table)'!D56, "")</f>
        <v/>
      </c>
      <c r="C11" s="58" t="str">
        <f>IF('Data (Master Table)'!$B56 = $K$1, 'Data (Master Table)'!E56, "")</f>
        <v/>
      </c>
      <c r="D11" s="58" t="str">
        <f>IF('Data (Master Table)'!$B56 = $K$1, 'Data (Master Table)'!F56, "")</f>
        <v/>
      </c>
      <c r="E11" s="58" t="str">
        <f>IF('Data (Master Table)'!$B56 = $K$1, 'Data (Master Table)'!G56, "")</f>
        <v/>
      </c>
      <c r="F11" s="58" t="str">
        <f>IF('Data (Master Table)'!$B56 = $K$1, 'Data (Master Table)'!H56, "")</f>
        <v/>
      </c>
      <c r="G11" s="58" t="str">
        <f>IF('Data (Master Table)'!$B56 = $K$1, 'Data (Master Table)'!I56, "")</f>
        <v/>
      </c>
      <c r="H11" s="58" t="str">
        <f>IF('Data (Master Table)'!$B56 = $K$1, 'Data (Master Table)'!J56, "")</f>
        <v/>
      </c>
      <c r="I11" s="58" t="str">
        <f>IF('Data (Master Table)'!$B56 = $K$1, 'Data (Master Table)'!K56, "")</f>
        <v/>
      </c>
      <c r="J11" s="59" t="str">
        <f>IF('Data (Master Table)'!$B56 = $K$1, 'Data (Master Table)'!L56, "")</f>
        <v/>
      </c>
      <c r="K11" s="71"/>
      <c r="L11" s="67"/>
      <c r="M11" s="68"/>
      <c r="N11" s="68"/>
      <c r="O11" s="68"/>
      <c r="P11" s="66"/>
      <c r="Q11" s="66"/>
      <c r="R11" s="70"/>
      <c r="S11" s="66"/>
    </row>
    <row r="12" spans="1:19">
      <c r="A12" s="58" t="str">
        <f>IF('Data (Master Table)'!$B57 = $K$1, 'Data (Master Table)'!C57, "")</f>
        <v/>
      </c>
      <c r="B12" s="58" t="str">
        <f>IF('Data (Master Table)'!$B57 = $K$1, 'Data (Master Table)'!D57, "")</f>
        <v/>
      </c>
      <c r="C12" s="58" t="str">
        <f>IF('Data (Master Table)'!$B57 = $K$1, 'Data (Master Table)'!E57, "")</f>
        <v/>
      </c>
      <c r="D12" s="58" t="str">
        <f>IF('Data (Master Table)'!$B57 = $K$1, 'Data (Master Table)'!F57, "")</f>
        <v/>
      </c>
      <c r="E12" s="58" t="str">
        <f>IF('Data (Master Table)'!$B57 = $K$1, 'Data (Master Table)'!G57, "")</f>
        <v/>
      </c>
      <c r="F12" s="58" t="str">
        <f>IF('Data (Master Table)'!$B57 = $K$1, 'Data (Master Table)'!H57, "")</f>
        <v/>
      </c>
      <c r="G12" s="58" t="str">
        <f>IF('Data (Master Table)'!$B57 = $K$1, 'Data (Master Table)'!I57, "")</f>
        <v/>
      </c>
      <c r="H12" s="58" t="str">
        <f>IF('Data (Master Table)'!$B57 = $K$1, 'Data (Master Table)'!J57, "")</f>
        <v/>
      </c>
      <c r="I12" s="58" t="str">
        <f>IF('Data (Master Table)'!$B57 = $K$1, 'Data (Master Table)'!K57, "")</f>
        <v/>
      </c>
      <c r="J12" s="59" t="str">
        <f>IF('Data (Master Table)'!$B57 = $K$1, 'Data (Master Table)'!L57, "")</f>
        <v/>
      </c>
      <c r="K12" s="71"/>
      <c r="L12" s="67"/>
      <c r="M12" s="68"/>
      <c r="N12" s="102"/>
      <c r="O12" s="102"/>
      <c r="P12" s="103"/>
      <c r="Q12" s="66"/>
      <c r="R12" s="104"/>
      <c r="S12" s="66"/>
    </row>
    <row r="13" spans="1:19">
      <c r="A13" s="58" t="str">
        <f>IF('Data (Master Table)'!$B58 = $K$1, 'Data (Master Table)'!C58, "")</f>
        <v/>
      </c>
      <c r="B13" s="58" t="str">
        <f>IF('Data (Master Table)'!$B58 = $K$1, 'Data (Master Table)'!D58, "")</f>
        <v/>
      </c>
      <c r="C13" s="58" t="str">
        <f>IF('Data (Master Table)'!$B58 = $K$1, 'Data (Master Table)'!E58, "")</f>
        <v/>
      </c>
      <c r="D13" s="58" t="str">
        <f>IF('Data (Master Table)'!$B58 = $K$1, 'Data (Master Table)'!F58, "")</f>
        <v/>
      </c>
      <c r="E13" s="58" t="str">
        <f>IF('Data (Master Table)'!$B58 = $K$1, 'Data (Master Table)'!G58, "")</f>
        <v/>
      </c>
      <c r="F13" s="58" t="str">
        <f>IF('Data (Master Table)'!$B58 = $K$1, 'Data (Master Table)'!H58, "")</f>
        <v/>
      </c>
      <c r="G13" s="58" t="str">
        <f>IF('Data (Master Table)'!$B58 = $K$1, 'Data (Master Table)'!I58, "")</f>
        <v/>
      </c>
      <c r="H13" s="58" t="str">
        <f>IF('Data (Master Table)'!$B58 = $K$1, 'Data (Master Table)'!J58, "")</f>
        <v/>
      </c>
      <c r="I13" s="58" t="str">
        <f>IF('Data (Master Table)'!$B58 = $K$1, 'Data (Master Table)'!K58, "")</f>
        <v/>
      </c>
      <c r="J13" s="59" t="str">
        <f>IF('Data (Master Table)'!$B58 = $K$1, 'Data (Master Table)'!L58, "")</f>
        <v/>
      </c>
      <c r="K13" s="71"/>
      <c r="L13" s="67"/>
      <c r="M13" s="68"/>
      <c r="N13" s="102"/>
      <c r="O13" s="102"/>
      <c r="P13" s="103"/>
      <c r="Q13" s="66"/>
      <c r="R13" s="104"/>
      <c r="S13" s="66"/>
    </row>
    <row r="14" spans="1:19">
      <c r="A14" s="58" t="str">
        <f>IF('Data (Master Table)'!$B59 = $K$1, 'Data (Master Table)'!C59, "")</f>
        <v/>
      </c>
      <c r="B14" s="58" t="str">
        <f>IF('Data (Master Table)'!$B59 = $K$1, 'Data (Master Table)'!D59, "")</f>
        <v/>
      </c>
      <c r="C14" s="58" t="str">
        <f>IF('Data (Master Table)'!$B59 = $K$1, 'Data (Master Table)'!E59, "")</f>
        <v/>
      </c>
      <c r="D14" s="58" t="str">
        <f>IF('Data (Master Table)'!$B59 = $K$1, 'Data (Master Table)'!F59, "")</f>
        <v/>
      </c>
      <c r="E14" s="58" t="str">
        <f>IF('Data (Master Table)'!$B59 = $K$1, 'Data (Master Table)'!G59, "")</f>
        <v/>
      </c>
      <c r="F14" s="58" t="str">
        <f>IF('Data (Master Table)'!$B59 = $K$1, 'Data (Master Table)'!H59, "")</f>
        <v/>
      </c>
      <c r="G14" s="58" t="str">
        <f>IF('Data (Master Table)'!$B59 = $K$1, 'Data (Master Table)'!I59, "")</f>
        <v/>
      </c>
      <c r="H14" s="58" t="str">
        <f>IF('Data (Master Table)'!$B59 = $K$1, 'Data (Master Table)'!J59, "")</f>
        <v/>
      </c>
      <c r="I14" s="58" t="str">
        <f>IF('Data (Master Table)'!$B59 = $K$1, 'Data (Master Table)'!K59, "")</f>
        <v/>
      </c>
      <c r="J14" s="59" t="str">
        <f>IF('Data (Master Table)'!$B59 = $K$1, 'Data (Master Table)'!L59, "")</f>
        <v/>
      </c>
      <c r="K14" s="71"/>
      <c r="L14" s="67"/>
      <c r="M14" s="68"/>
      <c r="N14" s="102"/>
      <c r="O14" s="102"/>
      <c r="P14" s="103"/>
      <c r="Q14" s="66"/>
      <c r="R14" s="104"/>
      <c r="S14" s="66"/>
    </row>
    <row r="15" spans="1:19">
      <c r="A15" s="58" t="str">
        <f>IF('Data (Master Table)'!$B60 = $K$1, 'Data (Master Table)'!C60, "")</f>
        <v/>
      </c>
      <c r="B15" s="58" t="str">
        <f>IF('Data (Master Table)'!$B60 = $K$1, 'Data (Master Table)'!D60, "")</f>
        <v/>
      </c>
      <c r="C15" s="58" t="str">
        <f>IF('Data (Master Table)'!$B60 = $K$1, 'Data (Master Table)'!E60, "")</f>
        <v/>
      </c>
      <c r="D15" s="58" t="str">
        <f>IF('Data (Master Table)'!$B60 = $K$1, 'Data (Master Table)'!F60, "")</f>
        <v/>
      </c>
      <c r="E15" s="58" t="str">
        <f>IF('Data (Master Table)'!$B60 = $K$1, 'Data (Master Table)'!G60, "")</f>
        <v/>
      </c>
      <c r="F15" s="58" t="str">
        <f>IF('Data (Master Table)'!$B60 = $K$1, 'Data (Master Table)'!H60, "")</f>
        <v/>
      </c>
      <c r="G15" s="58" t="str">
        <f>IF('Data (Master Table)'!$B60 = $K$1, 'Data (Master Table)'!I60, "")</f>
        <v/>
      </c>
      <c r="H15" s="58" t="str">
        <f>IF('Data (Master Table)'!$B60 = $K$1, 'Data (Master Table)'!J60, "")</f>
        <v/>
      </c>
      <c r="I15" s="58" t="str">
        <f>IF('Data (Master Table)'!$B60 = $K$1, 'Data (Master Table)'!K60, "")</f>
        <v/>
      </c>
      <c r="J15" s="59" t="str">
        <f>IF('Data (Master Table)'!$B60 = $K$1, 'Data (Master Table)'!L60, "")</f>
        <v/>
      </c>
      <c r="K15" s="71"/>
      <c r="L15" s="67"/>
      <c r="M15" s="68"/>
      <c r="N15" s="102"/>
      <c r="O15" s="102"/>
      <c r="P15" s="103"/>
      <c r="Q15" s="66"/>
      <c r="R15" s="104"/>
      <c r="S15" s="66"/>
    </row>
    <row r="16" spans="1:19">
      <c r="A16" s="58" t="str">
        <f>IF('Data (Master Table)'!$B61 = $K$1, 'Data (Master Table)'!C61, "")</f>
        <v/>
      </c>
      <c r="B16" s="58" t="str">
        <f>IF('Data (Master Table)'!$B61 = $K$1, 'Data (Master Table)'!D61, "")</f>
        <v/>
      </c>
      <c r="C16" s="58" t="str">
        <f>IF('Data (Master Table)'!$B61 = $K$1, 'Data (Master Table)'!E61, "")</f>
        <v/>
      </c>
      <c r="D16" s="58" t="str">
        <f>IF('Data (Master Table)'!$B61 = $K$1, 'Data (Master Table)'!F61, "")</f>
        <v/>
      </c>
      <c r="E16" s="58" t="str">
        <f>IF('Data (Master Table)'!$B61 = $K$1, 'Data (Master Table)'!G61, "")</f>
        <v/>
      </c>
      <c r="F16" s="58" t="str">
        <f>IF('Data (Master Table)'!$B61 = $K$1, 'Data (Master Table)'!H61, "")</f>
        <v/>
      </c>
      <c r="G16" s="58" t="str">
        <f>IF('Data (Master Table)'!$B61 = $K$1, 'Data (Master Table)'!I61, "")</f>
        <v/>
      </c>
      <c r="H16" s="58" t="str">
        <f>IF('Data (Master Table)'!$B61 = $K$1, 'Data (Master Table)'!J61, "")</f>
        <v/>
      </c>
      <c r="I16" s="58" t="str">
        <f>IF('Data (Master Table)'!$B61 = $K$1, 'Data (Master Table)'!K61, "")</f>
        <v/>
      </c>
      <c r="J16" s="59" t="str">
        <f>IF('Data (Master Table)'!$B61 = $K$1, 'Data (Master Table)'!L61, "")</f>
        <v/>
      </c>
      <c r="K16" s="71"/>
      <c r="L16" s="67"/>
      <c r="M16" s="68"/>
      <c r="N16" s="102"/>
      <c r="O16" s="102"/>
      <c r="P16" s="103"/>
      <c r="Q16" s="66"/>
      <c r="R16" s="104"/>
      <c r="S16" s="66"/>
    </row>
  </sheetData>
  <sheetProtection sheet="1" formatCells="0" formatColumns="0" formatRows="0" insertColumns="0" insertRows="0" insertHyperlinks="0" sort="0" autoFilter="0" pivotTables="0"/>
  <mergeCells count="1">
    <mergeCell ref="K1:S1"/>
  </mergeCells>
  <conditionalFormatting sqref="A3:S16">
    <cfRule type="expression" dxfId="26" priority="1">
      <formula>$A3= "NO"</formula>
    </cfRule>
  </conditionalFormatting>
  <conditionalFormatting sqref="R1:R1048576">
    <cfRule type="colorScale" priority="9">
      <colorScale>
        <cfvo type="min"/>
        <cfvo type="percentile" val="50"/>
        <cfvo type="max"/>
        <color rgb="FFF8696B"/>
        <color rgb="FFFFEB84"/>
        <color rgb="FF63BE7B"/>
      </colorScale>
    </cfRule>
  </conditionalFormatting>
  <dataValidations count="2">
    <dataValidation type="list" allowBlank="1" showInputMessage="1" showErrorMessage="1" sqref="F186:J199" xr:uid="{5BFBF073-0979-6942-9776-DEEAFC9FE701}">
      <formula1>"Low,Medium,High"</formula1>
    </dataValidation>
    <dataValidation allowBlank="1" showInputMessage="1" showErrorMessage="1" sqref="K1:O1048576 Q1:Q1048576 S1:S1048576" xr:uid="{526A8BE6-488C-4C6F-B0C2-B12A0B0BC254}"/>
  </dataValidations>
  <pageMargins left="0.75" right="0.75" top="1" bottom="1" header="0.5" footer="0.5"/>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 operator="equal" id="{A815E1FC-B9CD-BC46-86C0-2DCB163B3422}">
            <xm:f>'Data (Master Table)'!$AC$5</xm:f>
            <x14:dxf>
              <font>
                <b/>
                <i val="0"/>
              </font>
              <fill>
                <patternFill>
                  <bgColor rgb="FF92D050"/>
                </patternFill>
              </fill>
            </x14:dxf>
          </x14:cfRule>
          <x14:cfRule type="cellIs" priority="3" operator="equal" id="{EE111A29-830F-D942-A190-96526468B582}">
            <xm:f>'Data (Master Table)'!$AC$4</xm:f>
            <x14:dxf>
              <font>
                <b/>
                <i val="0"/>
              </font>
              <fill>
                <patternFill>
                  <bgColor rgb="FFFFC000"/>
                </patternFill>
              </fill>
            </x14:dxf>
          </x14:cfRule>
          <x14:cfRule type="cellIs" priority="4" operator="equal" id="{B92EC346-B632-DA44-81DA-A71618B1A930}">
            <xm:f>'Data (Master Table)'!$AC$3</xm:f>
            <x14:dxf>
              <font>
                <b/>
                <i val="0"/>
              </font>
              <fill>
                <patternFill>
                  <bgColor rgb="FFFF0000"/>
                </patternFill>
              </fill>
            </x14:dxf>
          </x14:cfRule>
          <xm:sqref>H2:I10000</xm:sqref>
        </x14:conditionalFormatting>
        <x14:conditionalFormatting xmlns:xm="http://schemas.microsoft.com/office/excel/2006/main">
          <x14:cfRule type="cellIs" priority="5" operator="equal" id="{89C03D07-6EF4-4445-B16A-4635D5DC3D4D}">
            <xm:f>'Data (Master Table)'!$Y$6</xm:f>
            <x14:dxf>
              <fill>
                <patternFill>
                  <bgColor rgb="FFFFFF00"/>
                </patternFill>
              </fill>
            </x14:dxf>
          </x14:cfRule>
          <x14:cfRule type="cellIs" priority="6" operator="equal" id="{7AC63E27-E1E7-E34A-807B-596546C1DA77}">
            <xm:f>'Data (Master Table)'!$Y$3</xm:f>
            <x14:dxf>
              <fill>
                <patternFill>
                  <bgColor theme="0" tint="-0.24994659260841701"/>
                </patternFill>
              </fill>
            </x14:dxf>
          </x14:cfRule>
          <x14:cfRule type="cellIs" priority="7" operator="equal" id="{C4E72C2A-729C-8245-B2F2-21A530B387D9}">
            <xm:f>'Data (Master Table)'!$Y$5</xm:f>
            <x14:dxf>
              <fill>
                <patternFill>
                  <bgColor rgb="FF92D050"/>
                </patternFill>
              </fill>
            </x14:dxf>
          </x14:cfRule>
          <x14:cfRule type="cellIs" priority="8" operator="equal" id="{B8B77B3A-7BDE-D44B-A30B-8AA0DB680510}">
            <xm:f>'Data (Master Table)'!$Y$4</xm:f>
            <x14:dxf>
              <fill>
                <patternFill>
                  <bgColor theme="3" tint="0.59996337778862885"/>
                </patternFill>
              </fill>
            </x14:dxf>
          </x14:cfRule>
          <xm:sqref>P1:P1048576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68FED5E-DB2F-FB4F-A6D4-71B0776211DC}">
          <x14:formula1>
            <xm:f>'Data (Master Table)'!$AA$3:$AA$13</xm:f>
          </x14:formula1>
          <xm:sqref>R1 R3:R1048576</xm:sqref>
        </x14:dataValidation>
        <x14:dataValidation type="list" allowBlank="1" showInputMessage="1" showErrorMessage="1" xr:uid="{2EE67B76-7C44-AB46-8BBA-ADFE0CE512E4}">
          <x14:formula1>
            <xm:f>'Data (Master Table)'!$Y$3:$Y$17</xm:f>
          </x14:formula1>
          <xm:sqref>P1 P3:P1048576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11EF6-E6D5-084C-B8A1-479EE946F7EE}">
  <sheetPr>
    <tabColor rgb="FFFF0000"/>
  </sheetPr>
  <dimension ref="A1:BY17"/>
  <sheetViews>
    <sheetView zoomScale="90" zoomScaleNormal="90" workbookViewId="0">
      <pane ySplit="2" topLeftCell="C3" activePane="bottomLeft" state="frozen"/>
      <selection pane="bottomLeft" activeCell="K4" sqref="K4"/>
      <selection activeCell="A3" sqref="A3"/>
    </sheetView>
  </sheetViews>
  <sheetFormatPr defaultColWidth="8.85546875" defaultRowHeight="15" customHeight="1"/>
  <cols>
    <col min="1" max="1" width="8.85546875" style="65"/>
    <col min="2" max="2" width="15" customWidth="1"/>
    <col min="3" max="3" width="19.28515625" style="4" customWidth="1"/>
    <col min="4" max="4" width="36" style="4" customWidth="1"/>
    <col min="5" max="5" width="15.42578125" style="4" customWidth="1"/>
    <col min="6" max="6" width="14" customWidth="1"/>
    <col min="7" max="7" width="17.85546875" customWidth="1"/>
    <col min="8" max="8" width="30.42578125" customWidth="1"/>
    <col min="9" max="9" width="13" customWidth="1"/>
    <col min="10" max="10" width="18.85546875" style="57" customWidth="1"/>
    <col min="11" max="11" width="25.42578125" style="73" customWidth="1"/>
    <col min="12" max="12" width="13.42578125" style="74" customWidth="1"/>
    <col min="13" max="13" width="29.140625" style="72" customWidth="1"/>
    <col min="14" max="14" width="49.5703125" style="65" customWidth="1"/>
    <col min="15" max="15" width="31.42578125" style="65" customWidth="1"/>
    <col min="16" max="16" width="17.140625" style="75" customWidth="1"/>
    <col min="17" max="17" width="15.140625" style="72" customWidth="1"/>
    <col min="18" max="18" width="14.140625" style="76" customWidth="1"/>
    <col min="19" max="19" width="23.85546875" style="72" customWidth="1"/>
    <col min="78" max="16384" width="8.85546875" style="65"/>
  </cols>
  <sheetData>
    <row r="1" spans="1:19" customFormat="1" ht="23.25">
      <c r="A1" s="86" t="s">
        <v>134</v>
      </c>
      <c r="B1" s="86"/>
      <c r="C1" s="87"/>
      <c r="D1" s="87"/>
      <c r="E1" s="87"/>
      <c r="F1" s="87"/>
      <c r="G1" s="87"/>
      <c r="H1" s="87"/>
      <c r="I1" s="87"/>
      <c r="J1" s="88"/>
      <c r="K1" s="170" t="str">
        <f>'Data (Master Table)'!W7</f>
        <v>Community Activities</v>
      </c>
      <c r="L1" s="170"/>
      <c r="M1" s="170"/>
      <c r="N1" s="170"/>
      <c r="O1" s="170"/>
      <c r="P1" s="170"/>
      <c r="Q1" s="170"/>
      <c r="R1" s="170"/>
      <c r="S1" s="170"/>
    </row>
    <row r="2" spans="1:19" s="64" customFormat="1" ht="62.25" customHeight="1">
      <c r="A2" s="117" t="str">
        <f>'Data (Master Table)'!C2</f>
        <v>IS
VALID</v>
      </c>
      <c r="B2" s="117" t="str">
        <f>'Data (Master Table)'!D2</f>
        <v>SMART Outcome</v>
      </c>
      <c r="C2" s="117" t="str">
        <f>'Data (Master Table)'!E2</f>
        <v>Benefit</v>
      </c>
      <c r="D2" s="117" t="str">
        <f>'Data (Master Table)'!F2</f>
        <v>Starting Point / Baseline</v>
      </c>
      <c r="E2" s="117" t="str">
        <f>'Data (Master Table)'!G2</f>
        <v>Department</v>
      </c>
      <c r="F2" s="117" t="str">
        <f>'Data (Master Table)'!H2</f>
        <v>Reported to OPEX</v>
      </c>
      <c r="G2" s="117" t="str">
        <f>'Data (Master Table)'!I2</f>
        <v>Responsible Person</v>
      </c>
      <c r="H2" s="117" t="str">
        <f>'Data (Master Table)'!J2</f>
        <v>Risk Level</v>
      </c>
      <c r="I2" s="117" t="str">
        <f>'Data (Master Table)'!K2</f>
        <v>Risk if Not Achieved</v>
      </c>
      <c r="J2" s="118" t="str">
        <f>'Data (Master Table)'!L2</f>
        <v>Target Date</v>
      </c>
      <c r="K2" s="118" t="str">
        <f>'Data (Master Table)'!M2</f>
        <v>Specific Desired Outcome</v>
      </c>
      <c r="L2" s="119" t="str">
        <f>'Data (Master Table)'!N2</f>
        <v>Milestone Count</v>
      </c>
      <c r="M2" s="118" t="str">
        <f>'Data (Master Table)'!O2</f>
        <v>Milestone/s</v>
      </c>
      <c r="N2" s="118" t="str">
        <f>'Data (Master Table)'!P2</f>
        <v>Milestone/s Date</v>
      </c>
      <c r="O2" s="118" t="str">
        <f>'Data (Master Table)'!Q2</f>
        <v>Actions</v>
      </c>
      <c r="P2" s="118" t="str">
        <f>'Data (Master Table)'!R2</f>
        <v>Status</v>
      </c>
      <c r="Q2" s="118" t="str">
        <f>'Data (Master Table)'!S2</f>
        <v>Reason for Delay</v>
      </c>
      <c r="R2" s="120" t="str">
        <f>'Data (Master Table)'!T2</f>
        <v>Complete %</v>
      </c>
      <c r="S2" s="118" t="str">
        <f>'Data (Master Table)'!U2</f>
        <v>Notes</v>
      </c>
    </row>
    <row r="3" spans="1:19" ht="164.25" customHeight="1">
      <c r="A3" s="58" t="str">
        <f>IF('Data (Master Table)'!$B63 = $K$1, 'Data (Master Table)'!C63, "")</f>
        <v>YES</v>
      </c>
      <c r="B3" s="58" t="str">
        <f>IF('Data (Master Table)'!$B63 = $K$1, 'Data (Master Table)'!D63, "")</f>
        <v>Vibrant Events Calendar</v>
      </c>
      <c r="C3" s="58" t="str">
        <f>IF('Data (Master Table)'!$B63 = $K$1, 'Data (Master Table)'!E63, "")</f>
        <v>Cohesion &amp; visibility</v>
      </c>
      <c r="D3" s="58" t="str">
        <f>IF('Data (Master Table)'!$B63 = $K$1, 'Data (Master Table)'!F63, "")</f>
        <v>Approx. 6 activities per year; decentralised planning; limited follow-up/feedback loops</v>
      </c>
      <c r="E3" s="58" t="str">
        <f>IF('Data (Master Table)'!$B63 = $K$1, 'Data (Master Table)'!G63, "")</f>
        <v>Events</v>
      </c>
      <c r="F3" s="58" t="str">
        <f>IF('Data (Master Table)'!$B63 = $K$1, 'Data (Master Table)'!H63, "")</f>
        <v>End of March End of June End of Sept</v>
      </c>
      <c r="G3" s="58" t="str">
        <f>IF('Data (Master Table)'!$B63 = $K$1, 'Data (Master Table)'!I63, "")</f>
        <v>Avais</v>
      </c>
      <c r="H3" s="58" t="str">
        <f>IF('Data (Master Table)'!$B63 = $K$1, 'Data (Master Table)'!J63, "")</f>
        <v>Medium</v>
      </c>
      <c r="I3" s="58" t="str">
        <f>IF('Data (Master Table)'!$B63 = $K$1, 'Data (Master Table)'!K63, "")</f>
        <v>Medium</v>
      </c>
      <c r="J3" s="59">
        <f>IF('Data (Master Table)'!$B63 = $K$1, 'Data (Master Table)'!L63, "")</f>
        <v>46295</v>
      </c>
      <c r="K3" s="66" t="s">
        <v>135</v>
      </c>
      <c r="L3" s="67">
        <v>6</v>
      </c>
      <c r="M3" s="68" t="s">
        <v>136</v>
      </c>
      <c r="N3" s="84"/>
      <c r="O3" s="66"/>
      <c r="P3" s="66" t="s">
        <v>33</v>
      </c>
      <c r="Q3" s="66"/>
      <c r="R3" s="70">
        <v>0.7</v>
      </c>
      <c r="S3" s="66" t="s">
        <v>137</v>
      </c>
    </row>
    <row r="4" spans="1:19" ht="195.75" customHeight="1">
      <c r="A4" s="58" t="str">
        <f>IF('Data (Master Table)'!$B64 = $K$1, 'Data (Master Table)'!C64, "")</f>
        <v>YES</v>
      </c>
      <c r="B4" s="58" t="str">
        <f>IF('Data (Master Table)'!$B64 = $K$1, 'Data (Master Table)'!D64, "")</f>
        <v>Attendance growth</v>
      </c>
      <c r="C4" s="58" t="str">
        <f>IF('Data (Master Table)'!$B64 = $K$1, 'Data (Master Table)'!E64, "")</f>
        <v>Broader engagement</v>
      </c>
      <c r="D4" s="58" t="str">
        <f>IF('Data (Master Table)'!$B64 = $K$1, 'Data (Master Table)'!F64, "")</f>
        <v>Approx. 6 activities per year; decentralised planning; limited follow-up/feedback loops</v>
      </c>
      <c r="E4" s="58" t="str">
        <f>IF('Data (Master Table)'!$B64 = $K$1, 'Data (Master Table)'!G64, "")</f>
        <v>Marketing</v>
      </c>
      <c r="F4" s="58" t="str">
        <f>IF('Data (Master Table)'!$B64 = $K$1, 'Data (Master Table)'!H64, "")</f>
        <v>End of March End of June End of Sept</v>
      </c>
      <c r="G4" s="58" t="str">
        <f>IF('Data (Master Table)'!$B64 = $K$1, 'Data (Master Table)'!I64, "")</f>
        <v>Ameera</v>
      </c>
      <c r="H4" s="58" t="str">
        <f>IF('Data (Master Table)'!$B64 = $K$1, 'Data (Master Table)'!J64, "")</f>
        <v>Medium</v>
      </c>
      <c r="I4" s="58" t="str">
        <f>IF('Data (Master Table)'!$B64 = $K$1, 'Data (Master Table)'!K64, "")</f>
        <v>Medium</v>
      </c>
      <c r="J4" s="59">
        <f>IF('Data (Master Table)'!$B64 = $K$1, 'Data (Master Table)'!L64, "")</f>
        <v>46295</v>
      </c>
      <c r="K4" s="66" t="s">
        <v>138</v>
      </c>
      <c r="L4" s="67">
        <v>3</v>
      </c>
      <c r="M4" s="131" t="s">
        <v>139</v>
      </c>
      <c r="N4" s="130" t="s">
        <v>140</v>
      </c>
      <c r="O4" s="132" t="s">
        <v>141</v>
      </c>
      <c r="P4" s="66" t="s">
        <v>33</v>
      </c>
      <c r="Q4" s="66"/>
      <c r="R4" s="70">
        <v>0.7</v>
      </c>
      <c r="S4" s="132" t="s">
        <v>142</v>
      </c>
    </row>
    <row r="5" spans="1:19" ht="67.5" customHeight="1">
      <c r="A5" s="58" t="str">
        <f>IF('Data (Master Table)'!$B65 = $K$1, 'Data (Master Table)'!C65, "")</f>
        <v>YES</v>
      </c>
      <c r="B5" s="58" t="str">
        <f>IF('Data (Master Table)'!$B65 = $K$1, 'Data (Master Table)'!D65, "")</f>
        <v>Events well advertised and attended</v>
      </c>
      <c r="C5" s="58" t="str">
        <f>IF('Data (Master Table)'!$B65 = $K$1, 'Data (Master Table)'!E65, "")</f>
        <v>Increased event attendance,staff booking system</v>
      </c>
      <c r="D5" s="58" t="str">
        <f>IF('Data (Master Table)'!$B65 = $K$1, 'Data (Master Table)'!F65, "")</f>
        <v>No calendar currently available</v>
      </c>
      <c r="E5" s="58" t="str">
        <f>IF('Data (Master Table)'!$B65 = $K$1, 'Data (Master Table)'!G65, "")</f>
        <v>Tech</v>
      </c>
      <c r="F5" s="58" t="str">
        <f>IF('Data (Master Table)'!$B65 = $K$1, 'Data (Master Table)'!H65, "")</f>
        <v>End of March End of June End of Sept</v>
      </c>
      <c r="G5" s="58" t="str">
        <f>IF('Data (Master Table)'!$B65 = $K$1, 'Data (Master Table)'!I65, "")</f>
        <v>Khaleeq</v>
      </c>
      <c r="H5" s="58" t="str">
        <f>IF('Data (Master Table)'!$B65 = $K$1, 'Data (Master Table)'!J65, "")</f>
        <v>High</v>
      </c>
      <c r="I5" s="58" t="str">
        <f>IF('Data (Master Table)'!$B65 = $K$1, 'Data (Master Table)'!K65, "")</f>
        <v>High</v>
      </c>
      <c r="J5" s="59">
        <f>IF('Data (Master Table)'!$B65 = $K$1, 'Data (Master Table)'!L65, "")</f>
        <v>46173</v>
      </c>
      <c r="K5" s="66" t="s">
        <v>143</v>
      </c>
      <c r="L5" s="67">
        <v>3</v>
      </c>
      <c r="M5" s="68" t="s">
        <v>144</v>
      </c>
      <c r="N5" s="85" t="s">
        <v>145</v>
      </c>
      <c r="O5" s="66"/>
      <c r="P5" s="66" t="s">
        <v>33</v>
      </c>
      <c r="Q5" s="66"/>
      <c r="R5" s="70">
        <v>0.7</v>
      </c>
      <c r="S5" s="66"/>
    </row>
    <row r="6" spans="1:19">
      <c r="A6" s="58" t="str">
        <f>IF('Data (Master Table)'!$B66 = $K$1, 'Data (Master Table)'!C66, "")</f>
        <v/>
      </c>
      <c r="B6" s="58" t="str">
        <f>IF('Data (Master Table)'!$B66 = $K$1, 'Data (Master Table)'!D66, "")</f>
        <v/>
      </c>
      <c r="C6" s="58" t="str">
        <f>IF('Data (Master Table)'!$B66 = $K$1, 'Data (Master Table)'!E66, "")</f>
        <v/>
      </c>
      <c r="D6" s="58" t="str">
        <f>IF('Data (Master Table)'!$B66 = $K$1, 'Data (Master Table)'!F66, "")</f>
        <v/>
      </c>
      <c r="E6" s="58" t="str">
        <f>IF('Data (Master Table)'!$B66 = $K$1, 'Data (Master Table)'!G66, "")</f>
        <v/>
      </c>
      <c r="F6" s="58" t="str">
        <f>IF('Data (Master Table)'!$B66 = $K$1, 'Data (Master Table)'!H66, "")</f>
        <v/>
      </c>
      <c r="G6" s="58" t="str">
        <f>IF('Data (Master Table)'!$B66 = $K$1, 'Data (Master Table)'!I66, "")</f>
        <v/>
      </c>
      <c r="H6" s="58" t="str">
        <f>IF('Data (Master Table)'!$B66 = $K$1, 'Data (Master Table)'!J66, "")</f>
        <v/>
      </c>
      <c r="I6" s="58" t="str">
        <f>IF('Data (Master Table)'!$B66 = $K$1, 'Data (Master Table)'!K66, "")</f>
        <v/>
      </c>
      <c r="J6" s="59" t="str">
        <f>IF('Data (Master Table)'!$B66 = $K$1, 'Data (Master Table)'!L66, "")</f>
        <v/>
      </c>
      <c r="K6" s="66"/>
      <c r="L6" s="67"/>
      <c r="M6" s="68"/>
      <c r="N6" s="84"/>
      <c r="O6" s="66"/>
      <c r="P6" s="66"/>
      <c r="Q6" s="66"/>
      <c r="R6" s="70"/>
      <c r="S6" s="66"/>
    </row>
    <row r="7" spans="1:19">
      <c r="A7" s="58" t="str">
        <f>IF('Data (Master Table)'!$B67 = $K$1, 'Data (Master Table)'!C67, "")</f>
        <v/>
      </c>
      <c r="B7" s="58" t="str">
        <f>IF('Data (Master Table)'!$B67 = $K$1, 'Data (Master Table)'!D67, "")</f>
        <v/>
      </c>
      <c r="C7" s="58" t="str">
        <f>IF('Data (Master Table)'!$B67 = $K$1, 'Data (Master Table)'!E67, "")</f>
        <v/>
      </c>
      <c r="D7" s="58" t="str">
        <f>IF('Data (Master Table)'!$B67 = $K$1, 'Data (Master Table)'!F67, "")</f>
        <v/>
      </c>
      <c r="E7" s="58" t="str">
        <f>IF('Data (Master Table)'!$B67 = $K$1, 'Data (Master Table)'!G67, "")</f>
        <v/>
      </c>
      <c r="F7" s="58" t="str">
        <f>IF('Data (Master Table)'!$B67 = $K$1, 'Data (Master Table)'!H67, "")</f>
        <v/>
      </c>
      <c r="G7" s="58" t="str">
        <f>IF('Data (Master Table)'!$B67 = $K$1, 'Data (Master Table)'!I67, "")</f>
        <v/>
      </c>
      <c r="H7" s="58" t="str">
        <f>IF('Data (Master Table)'!$B67 = $K$1, 'Data (Master Table)'!J67, "")</f>
        <v/>
      </c>
      <c r="I7" s="58" t="str">
        <f>IF('Data (Master Table)'!$B67 = $K$1, 'Data (Master Table)'!K67, "")</f>
        <v/>
      </c>
      <c r="J7" s="59" t="str">
        <f>IF('Data (Master Table)'!$B67 = $K$1, 'Data (Master Table)'!L67, "")</f>
        <v/>
      </c>
      <c r="K7" s="66"/>
      <c r="L7" s="67"/>
      <c r="M7" s="68"/>
      <c r="N7" s="84"/>
      <c r="O7" s="66"/>
      <c r="P7" s="66"/>
      <c r="Q7" s="66"/>
      <c r="R7" s="70"/>
      <c r="S7" s="66"/>
    </row>
    <row r="8" spans="1:19">
      <c r="A8" s="58" t="str">
        <f>IF('Data (Master Table)'!$B68 = $K$1, 'Data (Master Table)'!C68, "")</f>
        <v/>
      </c>
      <c r="B8" s="58" t="str">
        <f>IF('Data (Master Table)'!$B68 = $K$1, 'Data (Master Table)'!D68, "")</f>
        <v/>
      </c>
      <c r="C8" s="58" t="str">
        <f>IF('Data (Master Table)'!$B68 = $K$1, 'Data (Master Table)'!E68, "")</f>
        <v/>
      </c>
      <c r="D8" s="58" t="str">
        <f>IF('Data (Master Table)'!$B68 = $K$1, 'Data (Master Table)'!F68, "")</f>
        <v/>
      </c>
      <c r="E8" s="58" t="str">
        <f>IF('Data (Master Table)'!$B68 = $K$1, 'Data (Master Table)'!G68, "")</f>
        <v/>
      </c>
      <c r="F8" s="58" t="str">
        <f>IF('Data (Master Table)'!$B68 = $K$1, 'Data (Master Table)'!H68, "")</f>
        <v/>
      </c>
      <c r="G8" s="58" t="str">
        <f>IF('Data (Master Table)'!$B68 = $K$1, 'Data (Master Table)'!I68, "")</f>
        <v/>
      </c>
      <c r="H8" s="58" t="str">
        <f>IF('Data (Master Table)'!$B68 = $K$1, 'Data (Master Table)'!J68, "")</f>
        <v/>
      </c>
      <c r="I8" s="58" t="str">
        <f>IF('Data (Master Table)'!$B68 = $K$1, 'Data (Master Table)'!K68, "")</f>
        <v/>
      </c>
      <c r="J8" s="59" t="str">
        <f>IF('Data (Master Table)'!$B68 = $K$1, 'Data (Master Table)'!L68, "")</f>
        <v/>
      </c>
      <c r="K8" s="71"/>
      <c r="L8" s="67"/>
      <c r="M8" s="68"/>
      <c r="N8" s="85"/>
      <c r="O8" s="68"/>
      <c r="P8" s="66"/>
      <c r="Q8" s="66"/>
      <c r="R8" s="70"/>
      <c r="S8" s="66"/>
    </row>
    <row r="9" spans="1:19">
      <c r="A9" s="58" t="str">
        <f>IF('Data (Master Table)'!$B69 = $K$1, 'Data (Master Table)'!C69, "")</f>
        <v/>
      </c>
      <c r="B9" s="58" t="str">
        <f>IF('Data (Master Table)'!$B69 = $K$1, 'Data (Master Table)'!D69, "")</f>
        <v/>
      </c>
      <c r="C9" s="58" t="str">
        <f>IF('Data (Master Table)'!$B69 = $K$1, 'Data (Master Table)'!E69, "")</f>
        <v/>
      </c>
      <c r="D9" s="58" t="str">
        <f>IF('Data (Master Table)'!$B69 = $K$1, 'Data (Master Table)'!F69, "")</f>
        <v/>
      </c>
      <c r="E9" s="58" t="str">
        <f>IF('Data (Master Table)'!$B69 = $K$1, 'Data (Master Table)'!G69, "")</f>
        <v/>
      </c>
      <c r="F9" s="58" t="str">
        <f>IF('Data (Master Table)'!$B69 = $K$1, 'Data (Master Table)'!H69, "")</f>
        <v/>
      </c>
      <c r="G9" s="58" t="str">
        <f>IF('Data (Master Table)'!$B69 = $K$1, 'Data (Master Table)'!I69, "")</f>
        <v/>
      </c>
      <c r="H9" s="58" t="str">
        <f>IF('Data (Master Table)'!$B69 = $K$1, 'Data (Master Table)'!J69, "")</f>
        <v/>
      </c>
      <c r="I9" s="58" t="str">
        <f>IF('Data (Master Table)'!$B69 = $K$1, 'Data (Master Table)'!K69, "")</f>
        <v/>
      </c>
      <c r="J9" s="59" t="str">
        <f>IF('Data (Master Table)'!$B69 = $K$1, 'Data (Master Table)'!L69, "")</f>
        <v/>
      </c>
      <c r="K9" s="71"/>
      <c r="L9" s="67"/>
      <c r="M9" s="68"/>
      <c r="N9" s="85"/>
      <c r="O9" s="68"/>
      <c r="P9" s="66"/>
      <c r="Q9" s="66"/>
      <c r="R9" s="70"/>
      <c r="S9" s="66"/>
    </row>
    <row r="10" spans="1:19">
      <c r="A10" s="58" t="str">
        <f>IF('Data (Master Table)'!$B70 = $K$1, 'Data (Master Table)'!C70, "")</f>
        <v/>
      </c>
      <c r="B10" s="58" t="str">
        <f>IF('Data (Master Table)'!$B70 = $K$1, 'Data (Master Table)'!D70, "")</f>
        <v/>
      </c>
      <c r="C10" s="58" t="str">
        <f>IF('Data (Master Table)'!$B70 = $K$1, 'Data (Master Table)'!E70, "")</f>
        <v/>
      </c>
      <c r="D10" s="58" t="str">
        <f>IF('Data (Master Table)'!$B70 = $K$1, 'Data (Master Table)'!F70, "")</f>
        <v/>
      </c>
      <c r="E10" s="58" t="str">
        <f>IF('Data (Master Table)'!$B70 = $K$1, 'Data (Master Table)'!G70, "")</f>
        <v/>
      </c>
      <c r="F10" s="58" t="str">
        <f>IF('Data (Master Table)'!$B70 = $K$1, 'Data (Master Table)'!H70, "")</f>
        <v/>
      </c>
      <c r="G10" s="58" t="str">
        <f>IF('Data (Master Table)'!$B70 = $K$1, 'Data (Master Table)'!I70, "")</f>
        <v/>
      </c>
      <c r="H10" s="58" t="str">
        <f>IF('Data (Master Table)'!$B70 = $K$1, 'Data (Master Table)'!J70, "")</f>
        <v/>
      </c>
      <c r="I10" s="58" t="str">
        <f>IF('Data (Master Table)'!$B70 = $K$1, 'Data (Master Table)'!K70, "")</f>
        <v/>
      </c>
      <c r="J10" s="59" t="str">
        <f>IF('Data (Master Table)'!$B70 = $K$1, 'Data (Master Table)'!L70, "")</f>
        <v/>
      </c>
      <c r="K10" s="71"/>
      <c r="L10" s="67"/>
      <c r="M10" s="68"/>
      <c r="N10" s="85"/>
      <c r="O10" s="68"/>
      <c r="P10" s="66"/>
      <c r="Q10" s="66"/>
      <c r="R10" s="70"/>
      <c r="S10" s="66"/>
    </row>
    <row r="11" spans="1:19">
      <c r="A11" s="58" t="str">
        <f>IF('Data (Master Table)'!$B71 = $K$1, 'Data (Master Table)'!C71, "")</f>
        <v/>
      </c>
      <c r="B11" s="58" t="str">
        <f>IF('Data (Master Table)'!$B71 = $K$1, 'Data (Master Table)'!D71, "")</f>
        <v/>
      </c>
      <c r="C11" s="58" t="str">
        <f>IF('Data (Master Table)'!$B71 = $K$1, 'Data (Master Table)'!E71, "")</f>
        <v/>
      </c>
      <c r="D11" s="58" t="str">
        <f>IF('Data (Master Table)'!$B71 = $K$1, 'Data (Master Table)'!F71, "")</f>
        <v/>
      </c>
      <c r="E11" s="58" t="str">
        <f>IF('Data (Master Table)'!$B71 = $K$1, 'Data (Master Table)'!G71, "")</f>
        <v/>
      </c>
      <c r="F11" s="58" t="str">
        <f>IF('Data (Master Table)'!$B71 = $K$1, 'Data (Master Table)'!H71, "")</f>
        <v/>
      </c>
      <c r="G11" s="58" t="str">
        <f>IF('Data (Master Table)'!$B71 = $K$1, 'Data (Master Table)'!I71, "")</f>
        <v/>
      </c>
      <c r="H11" s="58" t="str">
        <f>IF('Data (Master Table)'!$B71 = $K$1, 'Data (Master Table)'!J71, "")</f>
        <v/>
      </c>
      <c r="I11" s="58" t="str">
        <f>IF('Data (Master Table)'!$B71 = $K$1, 'Data (Master Table)'!K71, "")</f>
        <v/>
      </c>
      <c r="J11" s="59" t="str">
        <f>IF('Data (Master Table)'!$B71 = $K$1, 'Data (Master Table)'!L71, "")</f>
        <v/>
      </c>
      <c r="K11" s="71"/>
      <c r="L11" s="67"/>
      <c r="M11" s="68"/>
      <c r="N11" s="85"/>
      <c r="O11" s="68"/>
      <c r="P11" s="66"/>
      <c r="Q11" s="66"/>
      <c r="R11" s="70"/>
      <c r="S11" s="66"/>
    </row>
    <row r="12" spans="1:19">
      <c r="A12" s="58" t="str">
        <f>IF('Data (Master Table)'!$B72 = $K$1, 'Data (Master Table)'!C72, "")</f>
        <v/>
      </c>
      <c r="B12" s="58" t="str">
        <f>IF('Data (Master Table)'!$B72 = $K$1, 'Data (Master Table)'!D72, "")</f>
        <v/>
      </c>
      <c r="C12" s="58" t="str">
        <f>IF('Data (Master Table)'!$B72 = $K$1, 'Data (Master Table)'!E72, "")</f>
        <v/>
      </c>
      <c r="D12" s="58" t="str">
        <f>IF('Data (Master Table)'!$B72 = $K$1, 'Data (Master Table)'!F72, "")</f>
        <v/>
      </c>
      <c r="E12" s="58" t="str">
        <f>IF('Data (Master Table)'!$B72 = $K$1, 'Data (Master Table)'!G72, "")</f>
        <v/>
      </c>
      <c r="F12" s="58" t="str">
        <f>IF('Data (Master Table)'!$B72 = $K$1, 'Data (Master Table)'!H72, "")</f>
        <v/>
      </c>
      <c r="G12" s="58" t="str">
        <f>IF('Data (Master Table)'!$B72 = $K$1, 'Data (Master Table)'!I72, "")</f>
        <v/>
      </c>
      <c r="H12" s="58" t="str">
        <f>IF('Data (Master Table)'!$B72 = $K$1, 'Data (Master Table)'!J72, "")</f>
        <v/>
      </c>
      <c r="I12" s="58" t="str">
        <f>IF('Data (Master Table)'!$B72 = $K$1, 'Data (Master Table)'!K72, "")</f>
        <v/>
      </c>
      <c r="J12" s="59" t="str">
        <f>IF('Data (Master Table)'!$B72 = $K$1, 'Data (Master Table)'!L72, "")</f>
        <v/>
      </c>
      <c r="K12" s="71"/>
      <c r="L12" s="67"/>
      <c r="M12" s="68"/>
      <c r="N12" s="114"/>
      <c r="O12" s="102"/>
      <c r="P12" s="103"/>
      <c r="Q12" s="66"/>
      <c r="R12" s="104"/>
      <c r="S12" s="66"/>
    </row>
    <row r="13" spans="1:19">
      <c r="A13" s="58" t="str">
        <f>IF('Data (Master Table)'!$B73 = $K$1, 'Data (Master Table)'!C73, "")</f>
        <v/>
      </c>
      <c r="B13" s="58" t="str">
        <f>IF('Data (Master Table)'!$B73 = $K$1, 'Data (Master Table)'!D73, "")</f>
        <v/>
      </c>
      <c r="C13" s="58" t="str">
        <f>IF('Data (Master Table)'!$B73 = $K$1, 'Data (Master Table)'!E73, "")</f>
        <v/>
      </c>
      <c r="D13" s="58" t="str">
        <f>IF('Data (Master Table)'!$B73 = $K$1, 'Data (Master Table)'!F73, "")</f>
        <v/>
      </c>
      <c r="E13" s="58" t="str">
        <f>IF('Data (Master Table)'!$B73 = $K$1, 'Data (Master Table)'!G73, "")</f>
        <v/>
      </c>
      <c r="F13" s="58" t="str">
        <f>IF('Data (Master Table)'!$B73 = $K$1, 'Data (Master Table)'!H73, "")</f>
        <v/>
      </c>
      <c r="G13" s="58" t="str">
        <f>IF('Data (Master Table)'!$B73 = $K$1, 'Data (Master Table)'!I73, "")</f>
        <v/>
      </c>
      <c r="H13" s="58" t="str">
        <f>IF('Data (Master Table)'!$B73 = $K$1, 'Data (Master Table)'!J73, "")</f>
        <v/>
      </c>
      <c r="I13" s="58" t="str">
        <f>IF('Data (Master Table)'!$B73 = $K$1, 'Data (Master Table)'!K73, "")</f>
        <v/>
      </c>
      <c r="J13" s="59" t="str">
        <f>IF('Data (Master Table)'!$B73 = $K$1, 'Data (Master Table)'!L73, "")</f>
        <v/>
      </c>
      <c r="K13" s="71"/>
      <c r="L13" s="67"/>
      <c r="M13" s="68"/>
      <c r="N13" s="114"/>
      <c r="O13" s="102"/>
      <c r="P13" s="103"/>
      <c r="Q13" s="66"/>
      <c r="R13" s="104"/>
      <c r="S13" s="66"/>
    </row>
    <row r="14" spans="1:19">
      <c r="A14" s="58" t="str">
        <f>IF('Data (Master Table)'!$B74 = $K$1, 'Data (Master Table)'!C74, "")</f>
        <v/>
      </c>
      <c r="B14" s="58" t="str">
        <f>IF('Data (Master Table)'!$B74 = $K$1, 'Data (Master Table)'!D74, "")</f>
        <v/>
      </c>
      <c r="C14" s="58" t="str">
        <f>IF('Data (Master Table)'!$B74 = $K$1, 'Data (Master Table)'!E74, "")</f>
        <v/>
      </c>
      <c r="D14" s="58" t="str">
        <f>IF('Data (Master Table)'!$B74 = $K$1, 'Data (Master Table)'!F74, "")</f>
        <v/>
      </c>
      <c r="E14" s="58" t="str">
        <f>IF('Data (Master Table)'!$B74 = $K$1, 'Data (Master Table)'!G74, "")</f>
        <v/>
      </c>
      <c r="F14" s="58" t="str">
        <f>IF('Data (Master Table)'!$B74 = $K$1, 'Data (Master Table)'!H74, "")</f>
        <v/>
      </c>
      <c r="G14" s="58" t="str">
        <f>IF('Data (Master Table)'!$B74 = $K$1, 'Data (Master Table)'!I74, "")</f>
        <v/>
      </c>
      <c r="H14" s="58" t="str">
        <f>IF('Data (Master Table)'!$B74 = $K$1, 'Data (Master Table)'!J74, "")</f>
        <v/>
      </c>
      <c r="I14" s="58" t="str">
        <f>IF('Data (Master Table)'!$B74 = $K$1, 'Data (Master Table)'!K74, "")</f>
        <v/>
      </c>
      <c r="J14" s="59" t="str">
        <f>IF('Data (Master Table)'!$B74 = $K$1, 'Data (Master Table)'!L74, "")</f>
        <v/>
      </c>
      <c r="K14" s="71"/>
      <c r="L14" s="67"/>
      <c r="M14" s="68"/>
      <c r="N14" s="114"/>
      <c r="O14" s="102"/>
      <c r="P14" s="103"/>
      <c r="Q14" s="66"/>
      <c r="R14" s="104"/>
      <c r="S14" s="66"/>
    </row>
    <row r="15" spans="1:19">
      <c r="A15" s="58" t="str">
        <f>IF('Data (Master Table)'!$B75 = $K$1, 'Data (Master Table)'!C75, "")</f>
        <v/>
      </c>
      <c r="B15" s="58" t="str">
        <f>IF('Data (Master Table)'!$B75 = $K$1, 'Data (Master Table)'!D75, "")</f>
        <v/>
      </c>
      <c r="C15" s="58" t="str">
        <f>IF('Data (Master Table)'!$B75 = $K$1, 'Data (Master Table)'!E75, "")</f>
        <v/>
      </c>
      <c r="D15" s="58" t="str">
        <f>IF('Data (Master Table)'!$B75 = $K$1, 'Data (Master Table)'!F75, "")</f>
        <v/>
      </c>
      <c r="E15" s="58" t="str">
        <f>IF('Data (Master Table)'!$B75 = $K$1, 'Data (Master Table)'!G75, "")</f>
        <v/>
      </c>
      <c r="F15" s="58" t="str">
        <f>IF('Data (Master Table)'!$B75 = $K$1, 'Data (Master Table)'!H75, "")</f>
        <v/>
      </c>
      <c r="G15" s="58" t="str">
        <f>IF('Data (Master Table)'!$B75 = $K$1, 'Data (Master Table)'!I75, "")</f>
        <v/>
      </c>
      <c r="H15" s="58" t="str">
        <f>IF('Data (Master Table)'!$B75 = $K$1, 'Data (Master Table)'!J75, "")</f>
        <v/>
      </c>
      <c r="I15" s="58" t="str">
        <f>IF('Data (Master Table)'!$B75 = $K$1, 'Data (Master Table)'!K75, "")</f>
        <v/>
      </c>
      <c r="J15" s="59" t="str">
        <f>IF('Data (Master Table)'!$B75 = $K$1, 'Data (Master Table)'!L75, "")</f>
        <v/>
      </c>
      <c r="K15" s="71"/>
      <c r="L15" s="67"/>
      <c r="M15" s="68"/>
      <c r="N15" s="114"/>
      <c r="O15" s="102"/>
      <c r="P15" s="103"/>
      <c r="Q15" s="66"/>
      <c r="R15" s="104"/>
      <c r="S15" s="66"/>
    </row>
    <row r="16" spans="1:19">
      <c r="A16" s="58" t="str">
        <f>IF('Data (Master Table)'!$B76 = $K$1, 'Data (Master Table)'!C76, "")</f>
        <v/>
      </c>
      <c r="B16" s="58" t="str">
        <f>IF('Data (Master Table)'!$B76 = $K$1, 'Data (Master Table)'!D76, "")</f>
        <v/>
      </c>
      <c r="C16" s="58" t="str">
        <f>IF('Data (Master Table)'!$B76 = $K$1, 'Data (Master Table)'!E76, "")</f>
        <v/>
      </c>
      <c r="D16" s="58" t="str">
        <f>IF('Data (Master Table)'!$B76 = $K$1, 'Data (Master Table)'!F76, "")</f>
        <v/>
      </c>
      <c r="E16" s="58" t="str">
        <f>IF('Data (Master Table)'!$B76 = $K$1, 'Data (Master Table)'!G76, "")</f>
        <v/>
      </c>
      <c r="F16" s="58" t="str">
        <f>IF('Data (Master Table)'!$B76 = $K$1, 'Data (Master Table)'!H76, "")</f>
        <v/>
      </c>
      <c r="G16" s="58" t="str">
        <f>IF('Data (Master Table)'!$B76 = $K$1, 'Data (Master Table)'!I76, "")</f>
        <v/>
      </c>
      <c r="H16" s="58" t="str">
        <f>IF('Data (Master Table)'!$B76 = $K$1, 'Data (Master Table)'!J76, "")</f>
        <v/>
      </c>
      <c r="I16" s="58" t="str">
        <f>IF('Data (Master Table)'!$B76 = $K$1, 'Data (Master Table)'!K76, "")</f>
        <v/>
      </c>
      <c r="J16" s="59" t="str">
        <f>IF('Data (Master Table)'!$B76 = $K$1, 'Data (Master Table)'!L76, "")</f>
        <v/>
      </c>
      <c r="K16" s="71"/>
      <c r="L16" s="67"/>
      <c r="M16" s="68"/>
      <c r="N16" s="114"/>
      <c r="O16" s="102"/>
      <c r="P16" s="103"/>
      <c r="Q16" s="66"/>
      <c r="R16" s="104"/>
      <c r="S16" s="66"/>
    </row>
    <row r="17" spans="2:77" s="73" customFormat="1">
      <c r="B17" s="57"/>
      <c r="C17" s="4"/>
      <c r="D17" s="4"/>
      <c r="E17" s="4"/>
      <c r="F17"/>
      <c r="G17"/>
      <c r="H17"/>
      <c r="I17"/>
      <c r="J17" s="57"/>
      <c r="L17" s="74"/>
      <c r="M17" s="72"/>
      <c r="N17" s="65"/>
      <c r="O17" s="65"/>
      <c r="P17" s="75"/>
      <c r="Q17" s="72"/>
      <c r="R17" s="76"/>
      <c r="S17" s="72"/>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row>
  </sheetData>
  <sheetProtection sheet="1" formatCells="0" formatColumns="0" formatRows="0" insertColumns="0" insertRows="0" insertHyperlinks="0" sort="0" autoFilter="0" pivotTables="0"/>
  <mergeCells count="1">
    <mergeCell ref="K1:S1"/>
  </mergeCells>
  <conditionalFormatting sqref="A3:S16">
    <cfRule type="expression" dxfId="18" priority="1">
      <formula>$A3= "NO"</formula>
    </cfRule>
  </conditionalFormatting>
  <conditionalFormatting sqref="R1:R1048576">
    <cfRule type="colorScale" priority="9">
      <colorScale>
        <cfvo type="min"/>
        <cfvo type="percentile" val="50"/>
        <cfvo type="max"/>
        <color rgb="FFF8696B"/>
        <color rgb="FFFFEB84"/>
        <color rgb="FF63BE7B"/>
      </colorScale>
    </cfRule>
  </conditionalFormatting>
  <dataValidations count="2">
    <dataValidation type="list" allowBlank="1" showInputMessage="1" showErrorMessage="1" sqref="F186:J199" xr:uid="{D75A4DB3-751D-EF47-95EA-0002D9C0A913}">
      <formula1>"Low,Medium,High"</formula1>
    </dataValidation>
    <dataValidation allowBlank="1" showInputMessage="1" showErrorMessage="1" sqref="K1:O1048576 Q1:Q1048576 S1:S1048576" xr:uid="{513D7E2E-EEEA-4642-933B-C1B0373A9120}"/>
  </dataValidations>
  <pageMargins left="0.75" right="0.75" top="1" bottom="1" header="0.5" footer="0.5"/>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 operator="equal" id="{BFF56DA6-5042-D74F-AA2F-A4A728B38438}">
            <xm:f>'Data (Master Table)'!$AC$5</xm:f>
            <x14:dxf>
              <font>
                <b/>
                <i val="0"/>
              </font>
              <fill>
                <patternFill>
                  <bgColor rgb="FF92D050"/>
                </patternFill>
              </fill>
            </x14:dxf>
          </x14:cfRule>
          <x14:cfRule type="cellIs" priority="3" operator="equal" id="{B53F251F-BD02-B349-96CA-ECD040D1E7FD}">
            <xm:f>'Data (Master Table)'!$AC$4</xm:f>
            <x14:dxf>
              <font>
                <b/>
                <i val="0"/>
              </font>
              <fill>
                <patternFill>
                  <bgColor rgb="FFFFC000"/>
                </patternFill>
              </fill>
            </x14:dxf>
          </x14:cfRule>
          <x14:cfRule type="cellIs" priority="4" operator="equal" id="{03B05F1D-A14D-B041-AA88-955ACB61C91E}">
            <xm:f>'Data (Master Table)'!$AC$3</xm:f>
            <x14:dxf>
              <font>
                <b/>
                <i val="0"/>
              </font>
              <fill>
                <patternFill>
                  <bgColor rgb="FFFF0000"/>
                </patternFill>
              </fill>
            </x14:dxf>
          </x14:cfRule>
          <xm:sqref>H2:I10000</xm:sqref>
        </x14:conditionalFormatting>
        <x14:conditionalFormatting xmlns:xm="http://schemas.microsoft.com/office/excel/2006/main">
          <x14:cfRule type="cellIs" priority="5" operator="equal" id="{2C759385-807D-6E4D-BCC4-5C943231E146}">
            <xm:f>'Data (Master Table)'!$Y$6</xm:f>
            <x14:dxf>
              <fill>
                <patternFill>
                  <bgColor rgb="FFFFFF00"/>
                </patternFill>
              </fill>
            </x14:dxf>
          </x14:cfRule>
          <x14:cfRule type="cellIs" priority="6" operator="equal" id="{6EEB895A-9D58-664C-8D62-2477109B2164}">
            <xm:f>'Data (Master Table)'!$Y$3</xm:f>
            <x14:dxf>
              <fill>
                <patternFill>
                  <bgColor theme="0" tint="-0.24994659260841701"/>
                </patternFill>
              </fill>
            </x14:dxf>
          </x14:cfRule>
          <x14:cfRule type="cellIs" priority="7" operator="equal" id="{6F0F2EA2-AE76-7A4B-9769-12FCDF770B27}">
            <xm:f>'Data (Master Table)'!$Y$5</xm:f>
            <x14:dxf>
              <fill>
                <patternFill>
                  <bgColor rgb="FF92D050"/>
                </patternFill>
              </fill>
            </x14:dxf>
          </x14:cfRule>
          <x14:cfRule type="cellIs" priority="8" operator="equal" id="{6220CDBF-B2F3-C243-9ADF-D4AB286BB8C5}">
            <xm:f>'Data (Master Table)'!$Y$4</xm:f>
            <x14:dxf>
              <fill>
                <patternFill>
                  <bgColor theme="3" tint="0.59996337778862885"/>
                </patternFill>
              </fill>
            </x14:dxf>
          </x14:cfRule>
          <xm:sqref>P1:P1048576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6A7525DE-CFCC-5A4C-BEF2-0443CE67ACC0}">
          <x14:formula1>
            <xm:f>'Data (Master Table)'!$Y$3:$Y$17</xm:f>
          </x14:formula1>
          <xm:sqref>P1 P3:P1048576</xm:sqref>
        </x14:dataValidation>
        <x14:dataValidation type="list" allowBlank="1" showInputMessage="1" showErrorMessage="1" xr:uid="{5C9CDAE9-8A83-9C42-A0BF-5A01BB5862B4}">
          <x14:formula1>
            <xm:f>'Data (Master Table)'!$AA$3:$AA$13</xm:f>
          </x14:formula1>
          <xm:sqref>R1 R3:R1048576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AFD5-1F9C-744B-8DC8-2894E460824D}">
  <sheetPr>
    <tabColor theme="6" tint="-0.249977111117893"/>
  </sheetPr>
  <dimension ref="A1:CR14"/>
  <sheetViews>
    <sheetView zoomScale="80" zoomScaleNormal="80" workbookViewId="0">
      <pane xSplit="10" ySplit="2" topLeftCell="O3" activePane="bottomRight" state="frozen"/>
      <selection pane="bottomRight" activeCell="J1" sqref="J1"/>
      <selection pane="bottomLeft" activeCell="A3" sqref="A3"/>
      <selection pane="topRight" activeCell="J1" sqref="J1"/>
    </sheetView>
  </sheetViews>
  <sheetFormatPr defaultColWidth="8.85546875" defaultRowHeight="15"/>
  <cols>
    <col min="1" max="1" width="8.85546875" style="151"/>
    <col min="2" max="2" width="15" style="149" customWidth="1"/>
    <col min="3" max="3" width="19.28515625" style="152" customWidth="1"/>
    <col min="4" max="4" width="27" style="152" customWidth="1"/>
    <col min="5" max="5" width="15.42578125" style="152" customWidth="1"/>
    <col min="6" max="6" width="17" style="149" customWidth="1"/>
    <col min="7" max="7" width="16.42578125" style="149" customWidth="1"/>
    <col min="8" max="8" width="14.42578125" style="149" customWidth="1"/>
    <col min="9" max="9" width="16.42578125" style="149" customWidth="1"/>
    <col min="10" max="10" width="18.85546875" style="153" customWidth="1"/>
    <col min="11" max="11" width="21.28515625" style="154" customWidth="1"/>
    <col min="12" max="12" width="15" style="155" customWidth="1"/>
    <col min="13" max="13" width="29.140625" style="156" customWidth="1"/>
    <col min="14" max="14" width="35.28515625" style="151" customWidth="1"/>
    <col min="15" max="15" width="49.7109375" style="151" customWidth="1"/>
    <col min="16" max="16" width="17.140625" style="156" customWidth="1"/>
    <col min="17" max="17" width="15.140625" style="156" customWidth="1"/>
    <col min="18" max="18" width="13.7109375" style="157" customWidth="1"/>
    <col min="19" max="19" width="52.85546875" style="156" customWidth="1"/>
    <col min="20" max="96" width="8.85546875" style="149"/>
    <col min="97" max="16384" width="8.85546875" style="151"/>
  </cols>
  <sheetData>
    <row r="1" spans="1:19" s="137" customFormat="1" ht="82.5" customHeight="1">
      <c r="A1" s="162" t="s">
        <v>146</v>
      </c>
      <c r="B1" s="135"/>
      <c r="C1" s="135"/>
      <c r="D1" s="135"/>
      <c r="E1" s="135"/>
      <c r="F1" s="135"/>
      <c r="G1" s="135"/>
      <c r="H1" s="135"/>
      <c r="I1" s="135"/>
      <c r="J1" s="136"/>
      <c r="K1" s="171" t="str">
        <f>'Data (Master Table)'!W8</f>
        <v>Spiritual Focus</v>
      </c>
      <c r="L1" s="171"/>
      <c r="M1" s="171"/>
      <c r="N1" s="171"/>
      <c r="O1" s="171"/>
      <c r="P1" s="171"/>
      <c r="Q1" s="171"/>
      <c r="R1" s="171"/>
      <c r="S1" s="171"/>
    </row>
    <row r="2" spans="1:19" s="150" customFormat="1" ht="62.25" customHeight="1">
      <c r="A2" s="138" t="str">
        <f>'Data (Master Table)'!C2</f>
        <v>IS
VALID</v>
      </c>
      <c r="B2" s="138" t="str">
        <f>'Data (Master Table)'!D2</f>
        <v>SMART Outcome</v>
      </c>
      <c r="C2" s="138" t="str">
        <f>'Data (Master Table)'!E2</f>
        <v>Benefit</v>
      </c>
      <c r="D2" s="138" t="str">
        <f>'Data (Master Table)'!F2</f>
        <v>Starting Point / Baseline</v>
      </c>
      <c r="E2" s="138" t="str">
        <f>'Data (Master Table)'!G2</f>
        <v>Department</v>
      </c>
      <c r="F2" s="138" t="str">
        <f>'Data (Master Table)'!H2</f>
        <v>Reported to OPEX</v>
      </c>
      <c r="G2" s="138" t="str">
        <f>'Data (Master Table)'!I2</f>
        <v>Responsible Person</v>
      </c>
      <c r="H2" s="138" t="str">
        <f>'Data (Master Table)'!J2</f>
        <v>Risk Level</v>
      </c>
      <c r="I2" s="138" t="str">
        <f>'Data (Master Table)'!K2</f>
        <v>Risk if Not Achieved</v>
      </c>
      <c r="J2" s="139" t="str">
        <f>'Data (Master Table)'!L2</f>
        <v>Target Date</v>
      </c>
      <c r="K2" s="139" t="str">
        <f>'Data (Master Table)'!M2</f>
        <v>Specific Desired Outcome</v>
      </c>
      <c r="L2" s="140" t="str">
        <f>'Data (Master Table)'!N2</f>
        <v>Milestone Count</v>
      </c>
      <c r="M2" s="139" t="str">
        <f>'Data (Master Table)'!O2</f>
        <v>Milestone/s</v>
      </c>
      <c r="N2" s="139" t="str">
        <f>'Data (Master Table)'!P2</f>
        <v>Milestone/s Date</v>
      </c>
      <c r="O2" s="139" t="str">
        <f>'Data (Master Table)'!Q2</f>
        <v>Actions</v>
      </c>
      <c r="P2" s="139" t="str">
        <f>'Data (Master Table)'!R2</f>
        <v>Status</v>
      </c>
      <c r="Q2" s="139" t="str">
        <f>'Data (Master Table)'!S2</f>
        <v>Reason for Delay</v>
      </c>
      <c r="R2" s="141" t="str">
        <f>'Data (Master Table)'!T2</f>
        <v>Complete %</v>
      </c>
      <c r="S2" s="139" t="str">
        <f>'Data (Master Table)'!U2</f>
        <v>Notes</v>
      </c>
    </row>
    <row r="3" spans="1:19" ht="197.25" customHeight="1">
      <c r="A3" s="58" t="str">
        <f>IF('Data (Master Table)'!$B78 = $K$1, 'Data (Master Table)'!C78, "")</f>
        <v>YES</v>
      </c>
      <c r="B3" s="142" t="str">
        <f>IF('Data (Master Table)'!$B78 = $K$1, 'Data (Master Table)'!D78, "")</f>
        <v>Learning &amp; practice</v>
      </c>
      <c r="C3" s="142" t="str">
        <f>IF('Data (Master Table)'!$B78 = $K$1, 'Data (Master Table)'!E78, "")</f>
        <v>Deeper community spirituality</v>
      </c>
      <c r="D3" s="142" t="str">
        <f>IF('Data (Master Table)'!$B78 = $K$1, 'Data (Master Table)'!F78, "")</f>
        <v>Regular Jumu’ah/Ramadan programmes; limited modular learning beyond madrassa/occasional talks</v>
      </c>
      <c r="E3" s="142" t="str">
        <f>IF('Data (Master Table)'!$B78 = $K$1, 'Data (Master Table)'!G78, "")</f>
        <v>Islamic Affairs</v>
      </c>
      <c r="F3" s="142" t="str">
        <f>IF('Data (Master Table)'!$B78 = $K$1, 'Data (Master Table)'!H78, "")</f>
        <v>End of March End of June End of Sept</v>
      </c>
      <c r="G3" s="142" t="str">
        <f>IF('Data (Master Table)'!$B78 = $K$1, 'Data (Master Table)'!I78, "")</f>
        <v>Omar</v>
      </c>
      <c r="H3" s="142" t="str">
        <f>IF('Data (Master Table)'!$B78 = $K$1, 'Data (Master Table)'!J78, "")</f>
        <v>Medium</v>
      </c>
      <c r="I3" s="142" t="str">
        <f>IF('Data (Master Table)'!$B78 = $K$1, 'Data (Master Table)'!K78, "")</f>
        <v>Medium</v>
      </c>
      <c r="J3" s="143">
        <f>IF('Data (Master Table)'!$B78 = $K$1, 'Data (Master Table)'!L78, "")</f>
        <v>46295</v>
      </c>
      <c r="K3" s="131" t="s">
        <v>147</v>
      </c>
      <c r="L3" s="144">
        <v>3</v>
      </c>
      <c r="M3" s="130" t="s">
        <v>148</v>
      </c>
      <c r="N3" s="134" t="s">
        <v>149</v>
      </c>
      <c r="O3" s="131" t="s">
        <v>150</v>
      </c>
      <c r="P3" s="132" t="s">
        <v>33</v>
      </c>
      <c r="Q3" s="132"/>
      <c r="R3" s="145">
        <v>0.9</v>
      </c>
      <c r="S3" s="163" t="s">
        <v>151</v>
      </c>
    </row>
    <row r="4" spans="1:19" ht="203.25" customHeight="1">
      <c r="A4" s="58" t="str">
        <f>IF('Data (Master Table)'!$B82 = $K$1, 'Data (Master Table)'!C82, "")</f>
        <v>YES</v>
      </c>
      <c r="B4" s="142" t="str">
        <f>IF('Data (Master Table)'!$B82 = $K$1, 'Data (Master Table)'!D82, "")</f>
        <v>Learning &amp; practice</v>
      </c>
      <c r="C4" s="142" t="str">
        <f>IF('Data (Master Table)'!$B82 = $K$1, 'Data (Master Table)'!E82, "")</f>
        <v>Deeper community spirituality</v>
      </c>
      <c r="D4" s="142" t="str">
        <f>IF('Data (Master Table)'!$B82 = $K$1, 'Data (Master Table)'!F82, "")</f>
        <v>Limited talks to date</v>
      </c>
      <c r="E4" s="142" t="str">
        <f>IF('Data (Master Table)'!$B82 = $K$1, 'Data (Master Table)'!G82, "")</f>
        <v>Islamic Affairs</v>
      </c>
      <c r="F4" s="142" t="str">
        <f>IF('Data (Master Table)'!$B82 = $K$1, 'Data (Master Table)'!H82, "")</f>
        <v>End of March End of June End of Sept</v>
      </c>
      <c r="G4" s="142" t="str">
        <f>IF('Data (Master Table)'!$B82 = $K$1, 'Data (Master Table)'!I82, "")</f>
        <v>Omar</v>
      </c>
      <c r="H4" s="142" t="str">
        <f>IF('Data (Master Table)'!$B82 = $K$1, 'Data (Master Table)'!J82, "")</f>
        <v>Medium</v>
      </c>
      <c r="I4" s="142" t="str">
        <f>IF('Data (Master Table)'!$B82 = $K$1, 'Data (Master Table)'!K82, "")</f>
        <v>Medium</v>
      </c>
      <c r="J4" s="143">
        <f>IF('Data (Master Table)'!$B82 = $K$1, 'Data (Master Table)'!L82, "")</f>
        <v>46295</v>
      </c>
      <c r="K4" s="132" t="s">
        <v>152</v>
      </c>
      <c r="L4" s="144">
        <v>4</v>
      </c>
      <c r="M4" s="131" t="s">
        <v>153</v>
      </c>
      <c r="N4" s="146" t="s">
        <v>154</v>
      </c>
      <c r="O4" s="131" t="s">
        <v>155</v>
      </c>
      <c r="P4" s="132" t="s">
        <v>33</v>
      </c>
      <c r="Q4" s="132"/>
      <c r="R4" s="145">
        <v>0.6</v>
      </c>
      <c r="S4" s="131" t="s">
        <v>156</v>
      </c>
    </row>
    <row r="5" spans="1:19" ht="123.75" customHeight="1">
      <c r="A5" s="58" t="str">
        <f>IF('Data (Master Table)'!$B81 = $K$1, 'Data (Master Table)'!C81, "")</f>
        <v>YES</v>
      </c>
      <c r="B5" s="142" t="str">
        <f>IF('Data (Master Table)'!$B81 = $K$1, 'Data (Master Table)'!D81, "")</f>
        <v>Al-Qalam Madrassa expansion</v>
      </c>
      <c r="C5" s="142" t="str">
        <f>IF('Data (Master Table)'!$B81 = $K$1, 'Data (Master Table)'!E81, "")</f>
        <v>Education for young people in our community, development fo youth leaders</v>
      </c>
      <c r="D5" s="142" t="str">
        <f>IF('Data (Master Table)'!$B81 = $K$1, 'Data (Master Table)'!F81, "")</f>
        <v>Already have an established Madrassa</v>
      </c>
      <c r="E5" s="142" t="str">
        <f>IF('Data (Master Table)'!$B81 = $K$1, 'Data (Master Table)'!G81, "")</f>
        <v>Education</v>
      </c>
      <c r="F5" s="142" t="str">
        <f>IF('Data (Master Table)'!$B81 = $K$1, 'Data (Master Table)'!H81, "")</f>
        <v>End of March End of June End of Sept</v>
      </c>
      <c r="G5" s="142" t="str">
        <f>IF('Data (Master Table)'!$B81 = $K$1, 'Data (Master Table)'!I81, "")</f>
        <v>Omar</v>
      </c>
      <c r="H5" s="142" t="str">
        <f>IF('Data (Master Table)'!$B81 = $K$1, 'Data (Master Table)'!J81, "")</f>
        <v>Medium</v>
      </c>
      <c r="I5" s="142" t="str">
        <f>IF('Data (Master Table)'!$B81 = $K$1, 'Data (Master Table)'!K81, "")</f>
        <v>Medium</v>
      </c>
      <c r="J5" s="143">
        <f>IF('Data (Master Table)'!$B81 = $K$1, 'Data (Master Table)'!L81, "")</f>
        <v>46295</v>
      </c>
      <c r="K5" s="132" t="s">
        <v>157</v>
      </c>
      <c r="L5" s="144">
        <v>1</v>
      </c>
      <c r="M5" s="131" t="s">
        <v>158</v>
      </c>
      <c r="N5" s="146" t="s">
        <v>159</v>
      </c>
      <c r="O5" s="132"/>
      <c r="P5" s="132" t="s">
        <v>33</v>
      </c>
      <c r="Q5" s="132"/>
      <c r="R5" s="145">
        <v>0.8</v>
      </c>
      <c r="S5" s="131" t="s">
        <v>160</v>
      </c>
    </row>
    <row r="6" spans="1:19" ht="131.25" customHeight="1">
      <c r="A6" s="58" t="str">
        <f>IF('Data (Master Table)'!$B80 = $K$1, 'Data (Master Table)'!C80, "")</f>
        <v>YES</v>
      </c>
      <c r="B6" s="142" t="str">
        <f>IF('Data (Master Table)'!$B80 = $K$1, 'Data (Master Table)'!D80, "")</f>
        <v>Community retreats</v>
      </c>
      <c r="C6" s="142" t="str">
        <f>IF('Data (Master Table)'!$B80 = $K$1, 'Data (Master Table)'!E80, "")</f>
        <v>Renewal &amp; connection</v>
      </c>
      <c r="D6" s="142" t="str">
        <f>IF('Data (Master Table)'!$B80 = $K$1, 'Data (Master Table)'!F80, "")</f>
        <v>Limited spiritual development to date</v>
      </c>
      <c r="E6" s="142" t="str">
        <f>IF('Data (Master Table)'!$B80 = $K$1, 'Data (Master Table)'!G80, "")</f>
        <v>Islamic Affairs</v>
      </c>
      <c r="F6" s="142" t="str">
        <f>IF('Data (Master Table)'!$B80 = $K$1, 'Data (Master Table)'!H80, "")</f>
        <v>End of March End of June End of Sept</v>
      </c>
      <c r="G6" s="142" t="str">
        <f>IF('Data (Master Table)'!$B80 = $K$1, 'Data (Master Table)'!I80, "")</f>
        <v>Omar</v>
      </c>
      <c r="H6" s="142" t="str">
        <f>IF('Data (Master Table)'!$B80 = $K$1, 'Data (Master Table)'!J80, "")</f>
        <v>Medium</v>
      </c>
      <c r="I6" s="142" t="str">
        <f>IF('Data (Master Table)'!$B80 = $K$1, 'Data (Master Table)'!K80, "")</f>
        <v>Medium</v>
      </c>
      <c r="J6" s="143">
        <f>IF('Data (Master Table)'!$B80 = $K$1, 'Data (Master Table)'!L80, "")</f>
        <v>46265</v>
      </c>
      <c r="K6" s="132" t="s">
        <v>161</v>
      </c>
      <c r="L6" s="144">
        <v>3</v>
      </c>
      <c r="M6" s="130" t="s">
        <v>162</v>
      </c>
      <c r="N6" s="130" t="s">
        <v>163</v>
      </c>
      <c r="O6" s="131" t="s">
        <v>164</v>
      </c>
      <c r="P6" s="132" t="s">
        <v>33</v>
      </c>
      <c r="Q6" s="132"/>
      <c r="R6" s="145">
        <v>0.3</v>
      </c>
      <c r="S6" s="132" t="s">
        <v>165</v>
      </c>
    </row>
    <row r="7" spans="1:19" ht="135">
      <c r="A7" s="58" t="str">
        <f>IF('Data (Master Table)'!$B83 = $K$1, 'Data (Master Table)'!C83, "")</f>
        <v>YES</v>
      </c>
      <c r="B7" s="142" t="str">
        <f>IF('Data (Master Table)'!$B83 = $K$1, 'Data (Master Table)'!D83, "")</f>
        <v>Spiritual self- development</v>
      </c>
      <c r="C7" s="142" t="str">
        <f>IF('Data (Master Table)'!$B83 = $K$1, 'Data (Master Table)'!E83, "")</f>
        <v>Deeper individual spirituality</v>
      </c>
      <c r="D7" s="142" t="str">
        <f>IF('Data (Master Table)'!$B83 = $K$1, 'Data (Master Table)'!F83, "")</f>
        <v>Not formally developed</v>
      </c>
      <c r="E7" s="142" t="str">
        <f>IF('Data (Master Table)'!$B83 = $K$1, 'Data (Master Table)'!G83, "")</f>
        <v>Exec</v>
      </c>
      <c r="F7" s="142" t="str">
        <f>IF('Data (Master Table)'!$B83 = $K$1, 'Data (Master Table)'!H83, "")</f>
        <v>End of March End of June End of Sept</v>
      </c>
      <c r="G7" s="142" t="str">
        <f>IF('Data (Master Table)'!$B83 = $K$1, 'Data (Master Table)'!I83, "")</f>
        <v>Shaffiq</v>
      </c>
      <c r="H7" s="142" t="str">
        <f>IF('Data (Master Table)'!$B83 = $K$1, 'Data (Master Table)'!J83, "")</f>
        <v>Medium</v>
      </c>
      <c r="I7" s="142" t="str">
        <f>IF('Data (Master Table)'!$B83 = $K$1, 'Data (Master Table)'!K83, "")</f>
        <v>Medium</v>
      </c>
      <c r="J7" s="143">
        <f>IF('Data (Master Table)'!$B83 = $K$1, 'Data (Master Table)'!L83, "")</f>
        <v>46295</v>
      </c>
      <c r="K7" s="147" t="s">
        <v>166</v>
      </c>
      <c r="L7" s="144">
        <v>2</v>
      </c>
      <c r="M7" s="131" t="s">
        <v>167</v>
      </c>
      <c r="N7" s="131" t="s">
        <v>168</v>
      </c>
      <c r="O7" s="131" t="s">
        <v>169</v>
      </c>
      <c r="P7" s="132" t="s">
        <v>170</v>
      </c>
      <c r="Q7" s="132"/>
      <c r="R7" s="145">
        <v>0.6</v>
      </c>
      <c r="S7" s="132" t="s">
        <v>171</v>
      </c>
    </row>
    <row r="8" spans="1:19">
      <c r="A8" s="58" t="str">
        <f>IF('Data (Master Table)'!$B84 = $K$1, 'Data (Master Table)'!C84, "")</f>
        <v/>
      </c>
      <c r="B8" s="142" t="str">
        <f>IF('Data (Master Table)'!$B84 = $K$1, 'Data (Master Table)'!D84, "")</f>
        <v/>
      </c>
      <c r="C8" s="142" t="str">
        <f>IF('Data (Master Table)'!$B84 = $K$1, 'Data (Master Table)'!E84, "")</f>
        <v/>
      </c>
      <c r="D8" s="142" t="str">
        <f>IF('Data (Master Table)'!$B84 = $K$1, 'Data (Master Table)'!F84, "")</f>
        <v/>
      </c>
      <c r="E8" s="142" t="str">
        <f>IF('Data (Master Table)'!$B84 = $K$1, 'Data (Master Table)'!G84, "")</f>
        <v/>
      </c>
      <c r="F8" s="142" t="str">
        <f>IF('Data (Master Table)'!$B84 = $K$1, 'Data (Master Table)'!H84, "")</f>
        <v/>
      </c>
      <c r="G8" s="142" t="str">
        <f>IF('Data (Master Table)'!$B84 = $K$1, 'Data (Master Table)'!I84, "")</f>
        <v/>
      </c>
      <c r="H8" s="142" t="str">
        <f>IF('Data (Master Table)'!$B84 = $K$1, 'Data (Master Table)'!J84, "")</f>
        <v/>
      </c>
      <c r="I8" s="142" t="str">
        <f>IF('Data (Master Table)'!$B84 = $K$1, 'Data (Master Table)'!K84, "")</f>
        <v/>
      </c>
      <c r="J8" s="143" t="str">
        <f>IF('Data (Master Table)'!$B84 = $K$1, 'Data (Master Table)'!L84, "")</f>
        <v/>
      </c>
      <c r="K8" s="147"/>
      <c r="L8" s="144"/>
      <c r="M8" s="131"/>
      <c r="N8" s="131"/>
      <c r="O8" s="131"/>
      <c r="P8" s="132"/>
      <c r="Q8" s="132"/>
      <c r="R8" s="145"/>
      <c r="S8" s="132"/>
    </row>
    <row r="9" spans="1:19">
      <c r="A9" s="58" t="str">
        <f>IF('Data (Master Table)'!$B85 = $K$1, 'Data (Master Table)'!C85, "")</f>
        <v/>
      </c>
      <c r="B9" s="142" t="str">
        <f>IF('Data (Master Table)'!$B85 = $K$1, 'Data (Master Table)'!D85, "")</f>
        <v/>
      </c>
      <c r="C9" s="142" t="str">
        <f>IF('Data (Master Table)'!$B85 = $K$1, 'Data (Master Table)'!E85, "")</f>
        <v/>
      </c>
      <c r="D9" s="142" t="str">
        <f>IF('Data (Master Table)'!$B85 = $K$1, 'Data (Master Table)'!F85, "")</f>
        <v/>
      </c>
      <c r="E9" s="142" t="str">
        <f>IF('Data (Master Table)'!$B85 = $K$1, 'Data (Master Table)'!G85, "")</f>
        <v/>
      </c>
      <c r="F9" s="142" t="str">
        <f>IF('Data (Master Table)'!$B85 = $K$1, 'Data (Master Table)'!H85, "")</f>
        <v/>
      </c>
      <c r="G9" s="142" t="str">
        <f>IF('Data (Master Table)'!$B85 = $K$1, 'Data (Master Table)'!I85, "")</f>
        <v/>
      </c>
      <c r="H9" s="142" t="str">
        <f>IF('Data (Master Table)'!$B85 = $K$1, 'Data (Master Table)'!J85, "")</f>
        <v/>
      </c>
      <c r="I9" s="142" t="str">
        <f>IF('Data (Master Table)'!$B85 = $K$1, 'Data (Master Table)'!K85, "")</f>
        <v/>
      </c>
      <c r="J9" s="143" t="str">
        <f>IF('Data (Master Table)'!$B85 = $K$1, 'Data (Master Table)'!L85, "")</f>
        <v/>
      </c>
      <c r="K9" s="147"/>
      <c r="L9" s="144"/>
      <c r="M9" s="131"/>
      <c r="N9" s="131"/>
      <c r="O9" s="131"/>
      <c r="P9" s="132"/>
      <c r="Q9" s="132"/>
      <c r="R9" s="145"/>
      <c r="S9" s="132"/>
    </row>
    <row r="10" spans="1:19">
      <c r="A10" s="58" t="str">
        <f>IF('Data (Master Table)'!$B86 = $K$1, 'Data (Master Table)'!C86, "")</f>
        <v/>
      </c>
      <c r="B10" s="142" t="str">
        <f>IF('Data (Master Table)'!$B86 = $K$1, 'Data (Master Table)'!D86, "")</f>
        <v/>
      </c>
      <c r="C10" s="142" t="str">
        <f>IF('Data (Master Table)'!$B86 = $K$1, 'Data (Master Table)'!E86, "")</f>
        <v/>
      </c>
      <c r="D10" s="142" t="str">
        <f>IF('Data (Master Table)'!$B86 = $K$1, 'Data (Master Table)'!F86, "")</f>
        <v/>
      </c>
      <c r="E10" s="142" t="str">
        <f>IF('Data (Master Table)'!$B86 = $K$1, 'Data (Master Table)'!G86, "")</f>
        <v/>
      </c>
      <c r="F10" s="142" t="str">
        <f>IF('Data (Master Table)'!$B86 = $K$1, 'Data (Master Table)'!H86, "")</f>
        <v/>
      </c>
      <c r="G10" s="142" t="str">
        <f>IF('Data (Master Table)'!$B86 = $K$1, 'Data (Master Table)'!I86, "")</f>
        <v/>
      </c>
      <c r="H10" s="142" t="str">
        <f>IF('Data (Master Table)'!$B86 = $K$1, 'Data (Master Table)'!J86, "")</f>
        <v/>
      </c>
      <c r="I10" s="142" t="str">
        <f>IF('Data (Master Table)'!$B86 = $K$1, 'Data (Master Table)'!K86, "")</f>
        <v/>
      </c>
      <c r="J10" s="143" t="str">
        <f>IF('Data (Master Table)'!$B86 = $K$1, 'Data (Master Table)'!L86, "")</f>
        <v/>
      </c>
      <c r="K10" s="147"/>
      <c r="L10" s="144"/>
      <c r="M10" s="131"/>
      <c r="N10" s="131"/>
      <c r="O10" s="131"/>
      <c r="P10" s="132"/>
      <c r="Q10" s="132"/>
      <c r="R10" s="148"/>
      <c r="S10" s="132"/>
    </row>
    <row r="11" spans="1:19">
      <c r="A11" s="58" t="str">
        <f>IF('Data (Master Table)'!$B87 = $K$1, 'Data (Master Table)'!C87, "")</f>
        <v/>
      </c>
      <c r="B11" s="142" t="str">
        <f>IF('Data (Master Table)'!$B87 = $K$1, 'Data (Master Table)'!D87, "")</f>
        <v/>
      </c>
      <c r="C11" s="142" t="str">
        <f>IF('Data (Master Table)'!$B87 = $K$1, 'Data (Master Table)'!E87, "")</f>
        <v/>
      </c>
      <c r="D11" s="142" t="str">
        <f>IF('Data (Master Table)'!$B87 = $K$1, 'Data (Master Table)'!F87, "")</f>
        <v/>
      </c>
      <c r="E11" s="142" t="str">
        <f>IF('Data (Master Table)'!$B87 = $K$1, 'Data (Master Table)'!G87, "")</f>
        <v/>
      </c>
      <c r="F11" s="142" t="str">
        <f>IF('Data (Master Table)'!$B87 = $K$1, 'Data (Master Table)'!H87, "")</f>
        <v/>
      </c>
      <c r="G11" s="142" t="str">
        <f>IF('Data (Master Table)'!$B87 = $K$1, 'Data (Master Table)'!I87, "")</f>
        <v/>
      </c>
      <c r="H11" s="142" t="str">
        <f>IF('Data (Master Table)'!$B87 = $K$1, 'Data (Master Table)'!J87, "")</f>
        <v/>
      </c>
      <c r="I11" s="142" t="str">
        <f>IF('Data (Master Table)'!$B87 = $K$1, 'Data (Master Table)'!K87, "")</f>
        <v/>
      </c>
      <c r="J11" s="143" t="str">
        <f>IF('Data (Master Table)'!$B87 = $K$1, 'Data (Master Table)'!L87, "")</f>
        <v/>
      </c>
      <c r="K11" s="147"/>
      <c r="L11" s="144"/>
      <c r="M11" s="131"/>
      <c r="N11" s="131"/>
      <c r="O11" s="131"/>
      <c r="P11" s="132"/>
      <c r="Q11" s="132"/>
      <c r="R11" s="148"/>
      <c r="S11" s="132"/>
    </row>
    <row r="12" spans="1:19">
      <c r="A12" s="58" t="str">
        <f>IF('Data (Master Table)'!$B88 = $K$1, 'Data (Master Table)'!C88, "")</f>
        <v/>
      </c>
      <c r="B12" s="142" t="str">
        <f>IF('Data (Master Table)'!$B88 = $K$1, 'Data (Master Table)'!D88, "")</f>
        <v/>
      </c>
      <c r="C12" s="142" t="str">
        <f>IF('Data (Master Table)'!$B88 = $K$1, 'Data (Master Table)'!E88, "")</f>
        <v/>
      </c>
      <c r="D12" s="142" t="str">
        <f>IF('Data (Master Table)'!$B88 = $K$1, 'Data (Master Table)'!F88, "")</f>
        <v/>
      </c>
      <c r="E12" s="142" t="str">
        <f>IF('Data (Master Table)'!$B88 = $K$1, 'Data (Master Table)'!G88, "")</f>
        <v/>
      </c>
      <c r="F12" s="142" t="str">
        <f>IF('Data (Master Table)'!$B88 = $K$1, 'Data (Master Table)'!H88, "")</f>
        <v/>
      </c>
      <c r="G12" s="142" t="str">
        <f>IF('Data (Master Table)'!$B88 = $K$1, 'Data (Master Table)'!I88, "")</f>
        <v/>
      </c>
      <c r="H12" s="142" t="str">
        <f>IF('Data (Master Table)'!$B88 = $K$1, 'Data (Master Table)'!J88, "")</f>
        <v/>
      </c>
      <c r="I12" s="142" t="str">
        <f>IF('Data (Master Table)'!$B88 = $K$1, 'Data (Master Table)'!K88, "")</f>
        <v/>
      </c>
      <c r="J12" s="143" t="str">
        <f>IF('Data (Master Table)'!$B88 = $K$1, 'Data (Master Table)'!L88, "")</f>
        <v/>
      </c>
      <c r="K12" s="147"/>
      <c r="L12" s="144"/>
      <c r="M12" s="131"/>
      <c r="N12" s="131"/>
      <c r="O12" s="131"/>
      <c r="P12" s="132"/>
      <c r="Q12" s="132"/>
      <c r="R12" s="148"/>
      <c r="S12" s="132"/>
    </row>
    <row r="13" spans="1:19">
      <c r="A13" s="58" t="str">
        <f>IF('Data (Master Table)'!$B89 = $K$1, 'Data (Master Table)'!C89, "")</f>
        <v/>
      </c>
      <c r="B13" s="142" t="str">
        <f>IF('Data (Master Table)'!$B89 = $K$1, 'Data (Master Table)'!D89, "")</f>
        <v/>
      </c>
      <c r="C13" s="142" t="str">
        <f>IF('Data (Master Table)'!$B89 = $K$1, 'Data (Master Table)'!E89, "")</f>
        <v/>
      </c>
      <c r="D13" s="142" t="str">
        <f>IF('Data (Master Table)'!$B89 = $K$1, 'Data (Master Table)'!F89, "")</f>
        <v/>
      </c>
      <c r="E13" s="142" t="str">
        <f>IF('Data (Master Table)'!$B89 = $K$1, 'Data (Master Table)'!G89, "")</f>
        <v/>
      </c>
      <c r="F13" s="142" t="str">
        <f>IF('Data (Master Table)'!$B89 = $K$1, 'Data (Master Table)'!H89, "")</f>
        <v/>
      </c>
      <c r="G13" s="142" t="str">
        <f>IF('Data (Master Table)'!$B89 = $K$1, 'Data (Master Table)'!I89, "")</f>
        <v/>
      </c>
      <c r="H13" s="142" t="str">
        <f>IF('Data (Master Table)'!$B89 = $K$1, 'Data (Master Table)'!J89, "")</f>
        <v/>
      </c>
      <c r="I13" s="142" t="str">
        <f>IF('Data (Master Table)'!$B89 = $K$1, 'Data (Master Table)'!K89, "")</f>
        <v/>
      </c>
      <c r="J13" s="143" t="str">
        <f>IF('Data (Master Table)'!$B89 = $K$1, 'Data (Master Table)'!L89, "")</f>
        <v/>
      </c>
      <c r="K13" s="147"/>
      <c r="L13" s="144"/>
      <c r="M13" s="131"/>
      <c r="N13" s="131"/>
      <c r="O13" s="131"/>
      <c r="P13" s="132"/>
      <c r="Q13" s="132"/>
      <c r="R13" s="148"/>
      <c r="S13" s="132"/>
    </row>
    <row r="14" spans="1:19">
      <c r="A14" s="58" t="str">
        <f>IF('Data (Master Table)'!$B90 = $K$1, 'Data (Master Table)'!C90, "")</f>
        <v/>
      </c>
      <c r="B14" s="142" t="str">
        <f>IF('Data (Master Table)'!$B90 = $K$1, 'Data (Master Table)'!D90, "")</f>
        <v/>
      </c>
      <c r="C14" s="142" t="str">
        <f>IF('Data (Master Table)'!$B90 = $K$1, 'Data (Master Table)'!E90, "")</f>
        <v/>
      </c>
      <c r="D14" s="142" t="str">
        <f>IF('Data (Master Table)'!$B90 = $K$1, 'Data (Master Table)'!F90, "")</f>
        <v/>
      </c>
      <c r="E14" s="142" t="str">
        <f>IF('Data (Master Table)'!$B90 = $K$1, 'Data (Master Table)'!G90, "")</f>
        <v/>
      </c>
      <c r="F14" s="142" t="str">
        <f>IF('Data (Master Table)'!$B90 = $K$1, 'Data (Master Table)'!H90, "")</f>
        <v/>
      </c>
      <c r="G14" s="142" t="str">
        <f>IF('Data (Master Table)'!$B90 = $K$1, 'Data (Master Table)'!I90, "")</f>
        <v/>
      </c>
      <c r="H14" s="142" t="str">
        <f>IF('Data (Master Table)'!$B90 = $K$1, 'Data (Master Table)'!J90, "")</f>
        <v/>
      </c>
      <c r="I14" s="142" t="str">
        <f>IF('Data (Master Table)'!$B90 = $K$1, 'Data (Master Table)'!K90, "")</f>
        <v/>
      </c>
      <c r="J14" s="143" t="str">
        <f>IF('Data (Master Table)'!$B90 = $K$1, 'Data (Master Table)'!L90, "")</f>
        <v/>
      </c>
      <c r="K14" s="147"/>
      <c r="L14" s="144"/>
      <c r="M14" s="131"/>
      <c r="N14" s="131"/>
      <c r="O14" s="131"/>
      <c r="P14" s="132"/>
      <c r="Q14" s="132"/>
      <c r="R14" s="148"/>
      <c r="S14" s="132"/>
    </row>
  </sheetData>
  <sheetProtection formatCells="0" formatColumns="0" formatRows="0" insertColumns="0" insertRows="0" insertHyperlinks="0" sort="0" autoFilter="0" pivotTables="0"/>
  <protectedRanges>
    <protectedRange sqref="K7:S14 K3:S6" name="Range1"/>
  </protectedRanges>
  <mergeCells count="1">
    <mergeCell ref="K1:S1"/>
  </mergeCells>
  <conditionalFormatting sqref="A3:S15">
    <cfRule type="expression" dxfId="10" priority="1">
      <formula>$A3= "NO"</formula>
    </cfRule>
  </conditionalFormatting>
  <conditionalFormatting sqref="R1:R1048576">
    <cfRule type="colorScale" priority="9">
      <colorScale>
        <cfvo type="min"/>
        <cfvo type="percentile" val="50"/>
        <cfvo type="max"/>
        <color rgb="FFF8696B"/>
        <color rgb="FFFFEB84"/>
        <color rgb="FF63BE7B"/>
      </colorScale>
    </cfRule>
  </conditionalFormatting>
  <dataValidations count="2">
    <dataValidation type="list" allowBlank="1" showInputMessage="1" showErrorMessage="1" sqref="F184:J197" xr:uid="{21123B3D-EB9C-B240-8DB1-14A8433F146D}">
      <formula1>"Low,Medium,High"</formula1>
    </dataValidation>
    <dataValidation allowBlank="1" showInputMessage="1" showErrorMessage="1" sqref="K7:O1048576 S7:S1048576 Q7:Q1048576 K1:O6 Q1:Q6 S1:S6" xr:uid="{7CDED775-F856-4898-997E-BB8539488D8E}"/>
  </dataValidations>
  <pageMargins left="0.75" right="0.75" top="1" bottom="1" header="0.5" footer="0.5"/>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 operator="equal" id="{5334AA36-E4C8-BB4B-9E86-0ED5F1FA9849}">
            <xm:f>'Data (Master Table)'!$AC$5</xm:f>
            <x14:dxf>
              <font>
                <b/>
                <i val="0"/>
              </font>
              <fill>
                <patternFill>
                  <bgColor rgb="FF92D050"/>
                </patternFill>
              </fill>
            </x14:dxf>
          </x14:cfRule>
          <x14:cfRule type="cellIs" priority="3" operator="equal" id="{AC958326-3677-E94E-BAED-98E5D7DB55C0}">
            <xm:f>'Data (Master Table)'!$AC$4</xm:f>
            <x14:dxf>
              <font>
                <b/>
                <i val="0"/>
              </font>
              <fill>
                <patternFill>
                  <bgColor rgb="FFFFC000"/>
                </patternFill>
              </fill>
            </x14:dxf>
          </x14:cfRule>
          <x14:cfRule type="cellIs" priority="4" operator="equal" id="{AA49544C-A7B7-A249-9FE2-06559431657C}">
            <xm:f>'Data (Master Table)'!$AC$3</xm:f>
            <x14:dxf>
              <font>
                <b/>
                <i val="0"/>
              </font>
              <fill>
                <patternFill>
                  <bgColor rgb="FFFF0000"/>
                </patternFill>
              </fill>
            </x14:dxf>
          </x14:cfRule>
          <xm:sqref>H2:I9998</xm:sqref>
        </x14:conditionalFormatting>
        <x14:conditionalFormatting xmlns:xm="http://schemas.microsoft.com/office/excel/2006/main">
          <x14:cfRule type="cellIs" priority="5" operator="equal" id="{B8AEBE34-915A-AE4A-ACBE-7A0C21595E4F}">
            <xm:f>'Data (Master Table)'!$Y$6</xm:f>
            <x14:dxf>
              <fill>
                <patternFill>
                  <bgColor rgb="FFFFFF00"/>
                </patternFill>
              </fill>
            </x14:dxf>
          </x14:cfRule>
          <x14:cfRule type="cellIs" priority="6" operator="equal" id="{350CA750-A200-F247-92C1-A418E832E342}">
            <xm:f>'Data (Master Table)'!$Y$3</xm:f>
            <x14:dxf>
              <fill>
                <patternFill>
                  <bgColor theme="0" tint="-0.24994659260841701"/>
                </patternFill>
              </fill>
            </x14:dxf>
          </x14:cfRule>
          <x14:cfRule type="cellIs" priority="7" operator="equal" id="{3A910B91-0ECD-AE4C-A676-E2ADD69BF49A}">
            <xm:f>'Data (Master Table)'!$Y$5</xm:f>
            <x14:dxf>
              <fill>
                <patternFill>
                  <bgColor rgb="FF92D050"/>
                </patternFill>
              </fill>
            </x14:dxf>
          </x14:cfRule>
          <x14:cfRule type="cellIs" priority="8" operator="equal" id="{9B719FD0-AA3C-7B48-ABB0-CFCC9E41B784}">
            <xm:f>'Data (Master Table)'!$Y$4</xm:f>
            <x14:dxf>
              <fill>
                <patternFill>
                  <bgColor theme="3" tint="0.59996337778862885"/>
                </patternFill>
              </fill>
            </x14:dxf>
          </x14:cfRule>
          <xm:sqref>P1:P1048576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FE18C2A8-05F2-6248-B613-7E853EB6EF65}">
          <x14:formula1>
            <xm:f>'Data (Master Table)'!$AA$3:$AA$13</xm:f>
          </x14:formula1>
          <xm:sqref>R1 R7:R1048576 R3:R6</xm:sqref>
        </x14:dataValidation>
        <x14:dataValidation type="list" allowBlank="1" showInputMessage="1" showErrorMessage="1" xr:uid="{1A18C05A-52F3-7F42-82A0-03B84BAE1D63}">
          <x14:formula1>
            <xm:f>'Data (Master Table)'!$Y$3:$Y$17</xm:f>
          </x14:formula1>
          <xm:sqref>P1 P7:P1048576 P3:P6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E414"/>
  <sheetViews>
    <sheetView zoomScale="90" zoomScaleNormal="90" workbookViewId="0">
      <pane xSplit="2" ySplit="2" topLeftCell="D3" activePane="bottomRight" state="frozen"/>
      <selection pane="bottomRight" activeCell="C1" sqref="C1"/>
      <selection pane="bottomLeft" activeCell="A3" sqref="A3"/>
      <selection pane="topRight" activeCell="C1" sqref="C1"/>
    </sheetView>
  </sheetViews>
  <sheetFormatPr defaultColWidth="8.85546875" defaultRowHeight="15" customHeight="1"/>
  <cols>
    <col min="2" max="2" width="14" customWidth="1"/>
    <col min="3" max="3" width="14" style="4" customWidth="1"/>
    <col min="4" max="4" width="40" bestFit="1" customWidth="1"/>
    <col min="5" max="5" width="35.140625" bestFit="1" customWidth="1"/>
    <col min="6" max="6" width="79" bestFit="1" customWidth="1"/>
    <col min="7" max="7" width="26.85546875" customWidth="1"/>
    <col min="8" max="8" width="29.28515625" bestFit="1" customWidth="1"/>
    <col min="9" max="9" width="18.85546875" bestFit="1" customWidth="1"/>
    <col min="10" max="10" width="14.42578125" bestFit="1" customWidth="1"/>
    <col min="11" max="11" width="14" customWidth="1"/>
    <col min="12" max="12" width="20" style="17" customWidth="1"/>
    <col min="13" max="13" width="67.5703125" customWidth="1"/>
    <col min="14" max="14" width="16.85546875" style="4" customWidth="1"/>
    <col min="15" max="15" width="37.85546875" customWidth="1"/>
    <col min="16" max="16" width="13.7109375" style="47" customWidth="1"/>
    <col min="17" max="19" width="13.7109375" customWidth="1"/>
    <col min="20" max="20" width="10.28515625" style="37" customWidth="1"/>
    <col min="23" max="23" width="25" bestFit="1" customWidth="1"/>
    <col min="25" max="25" width="12.28515625" bestFit="1" customWidth="1"/>
    <col min="27" max="27" width="12.28515625" style="4" customWidth="1"/>
  </cols>
  <sheetData>
    <row r="1" spans="1:31" ht="9.9499999999999993" customHeight="1"/>
    <row r="2" spans="1:31" ht="45">
      <c r="A2" s="18" t="s">
        <v>172</v>
      </c>
      <c r="B2" s="18" t="s">
        <v>3</v>
      </c>
      <c r="C2" s="18" t="s">
        <v>173</v>
      </c>
      <c r="D2" s="18" t="s">
        <v>174</v>
      </c>
      <c r="E2" s="18" t="s">
        <v>175</v>
      </c>
      <c r="F2" s="18" t="s">
        <v>176</v>
      </c>
      <c r="G2" s="18" t="s">
        <v>177</v>
      </c>
      <c r="H2" s="18" t="s">
        <v>178</v>
      </c>
      <c r="I2" s="18" t="s">
        <v>179</v>
      </c>
      <c r="J2" s="18" t="s">
        <v>180</v>
      </c>
      <c r="K2" s="18" t="s">
        <v>181</v>
      </c>
      <c r="L2" s="19" t="s">
        <v>182</v>
      </c>
      <c r="M2" s="19" t="s">
        <v>183</v>
      </c>
      <c r="N2" s="20" t="s">
        <v>184</v>
      </c>
      <c r="O2" s="20" t="s">
        <v>185</v>
      </c>
      <c r="P2" s="48" t="s">
        <v>186</v>
      </c>
      <c r="Q2" s="21" t="s">
        <v>187</v>
      </c>
      <c r="R2" s="21" t="s">
        <v>188</v>
      </c>
      <c r="S2" s="21" t="s">
        <v>189</v>
      </c>
      <c r="T2" s="46" t="s">
        <v>190</v>
      </c>
      <c r="U2" s="22" t="s">
        <v>191</v>
      </c>
      <c r="W2" s="34" t="s">
        <v>192</v>
      </c>
      <c r="Y2" s="14" t="s">
        <v>193</v>
      </c>
      <c r="AA2" s="14" t="s">
        <v>194</v>
      </c>
      <c r="AC2" s="14" t="s">
        <v>195</v>
      </c>
      <c r="AE2" s="14" t="s">
        <v>196</v>
      </c>
    </row>
    <row r="3" spans="1:31">
      <c r="A3" s="53" t="s">
        <v>197</v>
      </c>
      <c r="B3" s="53" t="s">
        <v>198</v>
      </c>
      <c r="C3" s="4" t="s">
        <v>199</v>
      </c>
      <c r="D3" t="s">
        <v>200</v>
      </c>
      <c r="E3" t="s">
        <v>201</v>
      </c>
      <c r="F3" t="s">
        <v>202</v>
      </c>
      <c r="G3" t="s">
        <v>203</v>
      </c>
      <c r="H3" t="s">
        <v>204</v>
      </c>
      <c r="I3" t="s">
        <v>29</v>
      </c>
      <c r="J3" t="s">
        <v>205</v>
      </c>
      <c r="K3" t="s">
        <v>206</v>
      </c>
      <c r="L3" s="17">
        <v>46081</v>
      </c>
      <c r="M3" s="49" t="str">
        <f>IF('Financial Stability'!K3&lt;&gt;"",'Financial Stability'!K3,"")</f>
        <v>Deliver a live Funeral Service: Tahreem Funeral Service (operational &amp; marketed)</v>
      </c>
      <c r="N3" s="51">
        <f>IF('Financial Stability'!L3&lt;&gt;"",'Financial Stability'!L3,"")</f>
        <v>3</v>
      </c>
      <c r="O3" s="49" t="str">
        <f>IF('Financial Stability'!M3&lt;&gt;"",'Financial Stability'!M3,"")</f>
        <v>1. Cement policies &amp; procedures
2. Hard Launch
3. Full service provision + £</v>
      </c>
      <c r="P3" s="50" t="str">
        <f>IF('Financial Stability'!N3&lt;&gt;"",'Financial Stability'!N3,"")</f>
        <v>1. Jan - March
2. March
3. Mar - Sept</v>
      </c>
      <c r="Q3" s="49" t="str">
        <f>IF('Financial Stability'!O3&lt;&gt;"",'Financial Stability'!O3,"")</f>
        <v>Continuous service improvement, additional fridge set up. Imam and Funeral Director to run roadshow prior to hard launch. Thorough marketing and relationship building- cemeteries, hospitals etc. Add our website link to other masajid and Eternal Gardens website</v>
      </c>
      <c r="R3" s="49" t="str">
        <f>IF('Financial Stability'!P3&lt;&gt;"",'Financial Stability'!P3,"")</f>
        <v>Complete</v>
      </c>
      <c r="S3" s="49" t="str">
        <f>IF('Financial Stability'!Q3&lt;&gt;"",'Financial Stability'!Q3,"")</f>
        <v/>
      </c>
      <c r="T3" s="52">
        <f>IF('Financial Stability'!R3&lt;&gt;"",'Financial Stability'!R3,"")</f>
        <v>1</v>
      </c>
      <c r="U3" s="49" t="str">
        <f>IF('Financial Stability'!S3&lt;&gt;"",'Financial Stability'!S3,"")</f>
        <v>The launch included delivering 21 full funerals, tightening policies and procedures, adding fridges, creating leaflets, livening the website, sending emails and WhatsApp messages, building relationships with Shirley, Penge, Purley, MCWAS, Tunbridge Wells and Maidstone (including use of facilities at Maidstone and TW). Send messages to our community, making a popup for the AEC website, setting up Tahreem@group email, adding our details to the Eternal Gardens website, announcing at jumu'ah. Before hard laucnh we have made a net profit of £20k</v>
      </c>
      <c r="W3" s="35" t="s">
        <v>198</v>
      </c>
      <c r="Y3" s="40" t="s">
        <v>76</v>
      </c>
      <c r="AA3" s="38">
        <v>0</v>
      </c>
      <c r="AC3" s="43" t="s">
        <v>206</v>
      </c>
      <c r="AE3" s="160" t="s">
        <v>199</v>
      </c>
    </row>
    <row r="4" spans="1:31">
      <c r="A4" s="53" t="s">
        <v>207</v>
      </c>
      <c r="B4" s="53" t="s">
        <v>198</v>
      </c>
      <c r="C4" s="4" t="s">
        <v>199</v>
      </c>
      <c r="D4" t="s">
        <v>200</v>
      </c>
      <c r="E4" t="s">
        <v>208</v>
      </c>
      <c r="F4" t="s">
        <v>209</v>
      </c>
      <c r="G4" t="s">
        <v>203</v>
      </c>
      <c r="H4" t="s">
        <v>204</v>
      </c>
      <c r="I4" t="s">
        <v>210</v>
      </c>
      <c r="J4" t="s">
        <v>205</v>
      </c>
      <c r="K4" t="s">
        <v>205</v>
      </c>
      <c r="L4" s="17">
        <v>46112</v>
      </c>
      <c r="M4" s="49" t="str">
        <f>IF('Financial Stability'!K4&lt;&gt;"",'Financial Stability'!K4,"")</f>
        <v>Launch Green Pages Business Directory (100+ listings.) Launch through MosqueApp</v>
      </c>
      <c r="N4" s="51">
        <f>IF('Financial Stability'!L4&lt;&gt;"",'Financial Stability'!L4,"")</f>
        <v>1</v>
      </c>
      <c r="O4" s="49" t="str">
        <f>IF('Financial Stability'!M4&lt;&gt;"",'Financial Stability'!M4,"")</f>
        <v>Created website offering, Raja to launch and do intital pre registration checks</v>
      </c>
      <c r="P4" s="50">
        <f>IF('Financial Stability'!N4&lt;&gt;"",'Financial Stability'!N4,"")</f>
        <v>46142</v>
      </c>
      <c r="Q4" s="49" t="str">
        <f>IF('Financial Stability'!O4&lt;&gt;"",'Financial Stability'!O4,"")</f>
        <v>Intro offer; outreach to local businesses; simple sign-up</v>
      </c>
      <c r="R4" s="49" t="str">
        <f>IF('Financial Stability'!P4&lt;&gt;"",'Financial Stability'!P4,"")</f>
        <v>In Progress</v>
      </c>
      <c r="S4" s="49" t="str">
        <f>IF('Financial Stability'!Q4&lt;&gt;"",'Financial Stability'!Q4,"")</f>
        <v/>
      </c>
      <c r="T4" s="52">
        <f>IF('Financial Stability'!R4&lt;&gt;"",'Financial Stability'!R4,"")</f>
        <v>0.9</v>
      </c>
      <c r="U4" s="49" t="str">
        <f>IF('Financial Stability'!S4&lt;&gt;"",'Financial Stability'!S4,"")</f>
        <v>Raja is on this iA</v>
      </c>
      <c r="W4" s="27" t="s">
        <v>211</v>
      </c>
      <c r="Y4" s="23" t="s">
        <v>33</v>
      </c>
      <c r="AA4" s="38">
        <v>0.1</v>
      </c>
      <c r="AC4" s="44" t="s">
        <v>205</v>
      </c>
      <c r="AE4" s="161" t="s">
        <v>212</v>
      </c>
    </row>
    <row r="5" spans="1:31">
      <c r="A5" s="53" t="s">
        <v>213</v>
      </c>
      <c r="B5" s="53" t="s">
        <v>198</v>
      </c>
      <c r="C5" s="4" t="s">
        <v>212</v>
      </c>
      <c r="D5" t="s">
        <v>214</v>
      </c>
      <c r="E5" t="s">
        <v>215</v>
      </c>
      <c r="F5" t="s">
        <v>216</v>
      </c>
      <c r="G5" t="s">
        <v>217</v>
      </c>
      <c r="H5" t="s">
        <v>204</v>
      </c>
      <c r="I5" t="s">
        <v>218</v>
      </c>
      <c r="J5" t="s">
        <v>219</v>
      </c>
      <c r="K5" t="s">
        <v>206</v>
      </c>
      <c r="L5" s="17">
        <v>46203</v>
      </c>
      <c r="M5" s="49" t="str">
        <f>IF('Financial Stability'!K5&lt;&gt;"",'Financial Stability'!K5,"")</f>
        <v>Raise £60k additional funds for waqf investment</v>
      </c>
      <c r="N5" s="51"/>
      <c r="O5" s="49" t="str">
        <f>IF('Financial Stability'!M5&lt;&gt;"",'Financial Stability'!M5,"")</f>
        <v>Ramadhan Waqf fundraising     round 2</v>
      </c>
      <c r="P5" s="50" t="str">
        <f>IF('Financial Stability'!N5&lt;&gt;"",'Financial Stability'!N5,"")</f>
        <v>Last 10 days of Ramadhan</v>
      </c>
      <c r="Q5" s="49" t="str">
        <f>IF('Financial Stability'!O5&lt;&gt;"",'Financial Stability'!O5,"")</f>
        <v>Friday talks, create deck for last 10 days of Ramadhan</v>
      </c>
      <c r="R5" s="49" t="str">
        <f>IF('Financial Stability'!P5&lt;&gt;"",'Financial Stability'!P5,"")</f>
        <v>In Progress</v>
      </c>
      <c r="S5" s="49" t="str">
        <f>IF('Financial Stability'!Q5&lt;&gt;"",'Financial Stability'!Q5,"")</f>
        <v>The amount we wanted to raise in the last 10 days of Ramadhan was not realised</v>
      </c>
      <c r="T5" s="52" t="str">
        <f>IF('Financial Stability'!R5&lt;&gt;"",'Financial Stability'!R5,"")</f>
        <v/>
      </c>
      <c r="U5" s="49" t="str">
        <f>IF('Financial Stability'!S5&lt;&gt;"",'Financial Stability'!S5,"")</f>
        <v>Will look to HNW network to achieve this</v>
      </c>
      <c r="W5" s="28" t="s">
        <v>220</v>
      </c>
      <c r="Y5" s="26" t="s">
        <v>27</v>
      </c>
      <c r="AA5" s="38">
        <v>0.2</v>
      </c>
      <c r="AC5" s="42" t="s">
        <v>219</v>
      </c>
    </row>
    <row r="6" spans="1:31">
      <c r="A6" s="53" t="s">
        <v>221</v>
      </c>
      <c r="B6" s="53" t="s">
        <v>198</v>
      </c>
      <c r="C6" s="4" t="s">
        <v>199</v>
      </c>
      <c r="D6" t="s">
        <v>222</v>
      </c>
      <c r="E6" t="s">
        <v>223</v>
      </c>
      <c r="F6" t="s">
        <v>224</v>
      </c>
      <c r="G6" t="s">
        <v>225</v>
      </c>
      <c r="H6" t="s">
        <v>204</v>
      </c>
      <c r="I6" t="s">
        <v>29</v>
      </c>
      <c r="J6" t="s">
        <v>205</v>
      </c>
      <c r="K6" t="s">
        <v>206</v>
      </c>
      <c r="L6" s="17">
        <v>46295</v>
      </c>
      <c r="M6" s="49" t="str">
        <f>IF('Financial Stability'!K6&lt;&gt;"",'Financial Stability'!K6,"")</f>
        <v>Increase waqf investment by further £65k</v>
      </c>
      <c r="N6" s="51">
        <f>IF('Financial Stability'!L6&lt;&gt;"",'Financial Stability'!L6,"")</f>
        <v>1</v>
      </c>
      <c r="O6" s="49" t="str">
        <f>IF('Financial Stability'!M6&lt;&gt;"",'Financial Stability'!M6,"")</f>
        <v>HNW and individual investor approach pack + roadshows</v>
      </c>
      <c r="P6" s="50">
        <f>IF('Financial Stability'!N6&lt;&gt;"",'Financial Stability'!N6,"")</f>
        <v>46266</v>
      </c>
      <c r="Q6" s="49" t="str">
        <f>IF('Financial Stability'!O6&lt;&gt;"",'Financial Stability'!O6,"")</f>
        <v>Curated deck; Brunei / Malaysian network, donor lunches; targeted HNW outreach</v>
      </c>
      <c r="R6" s="49" t="str">
        <f>IF('Financial Stability'!P6&lt;&gt;"",'Financial Stability'!P6,"")</f>
        <v>In Progress</v>
      </c>
      <c r="S6" s="49" t="str">
        <f>IF('Financial Stability'!Q6&lt;&gt;"",'Financial Stability'!Q6,"")</f>
        <v/>
      </c>
      <c r="T6" s="52">
        <f>IF('Financial Stability'!R6&lt;&gt;"",'Financial Stability'!R6,"")</f>
        <v>0.7</v>
      </c>
      <c r="U6" s="49" t="str">
        <f>IF('Financial Stability'!S6&lt;&gt;"",'Financial Stability'!S6,"")</f>
        <v/>
      </c>
      <c r="W6" s="29" t="s">
        <v>226</v>
      </c>
      <c r="Y6" s="41" t="s">
        <v>170</v>
      </c>
      <c r="AA6" s="38">
        <v>0.3</v>
      </c>
      <c r="AC6" s="45"/>
    </row>
    <row r="7" spans="1:31">
      <c r="A7" s="53" t="s">
        <v>227</v>
      </c>
      <c r="B7" s="53" t="s">
        <v>198</v>
      </c>
      <c r="C7" s="4" t="s">
        <v>199</v>
      </c>
      <c r="D7" t="s">
        <v>228</v>
      </c>
      <c r="E7" t="s">
        <v>229</v>
      </c>
      <c r="F7" t="s">
        <v>230</v>
      </c>
      <c r="G7" t="s">
        <v>217</v>
      </c>
      <c r="H7" t="s">
        <v>204</v>
      </c>
      <c r="I7" t="s">
        <v>231</v>
      </c>
      <c r="J7" t="s">
        <v>219</v>
      </c>
      <c r="K7" t="s">
        <v>205</v>
      </c>
      <c r="L7" s="17">
        <v>46295</v>
      </c>
      <c r="M7" s="49" t="str">
        <f>IF('Financial Stability'!K7&lt;&gt;"",'Financial Stability'!K7,"")</f>
        <v>Monthly finance dashboard &amp; cost controls</v>
      </c>
      <c r="N7" s="51">
        <f>IF('Financial Stability'!L7&lt;&gt;"",'Financial Stability'!L7,"")</f>
        <v>1</v>
      </c>
      <c r="O7" s="49" t="str">
        <f>IF('Financial Stability'!M7&lt;&gt;"",'Financial Stability'!M7,"")</f>
        <v>Ramadhan BAU fundraising Dashboard creation</v>
      </c>
      <c r="P7" s="50">
        <f>IF('Financial Stability'!N7&lt;&gt;"",'Financial Stability'!N7,"")</f>
        <v>46266</v>
      </c>
      <c r="Q7" s="49" t="str">
        <f>IF('Financial Stability'!O7&lt;&gt;"",'Financial Stability'!O7,"")</f>
        <v>Budget discipline; procurement policy</v>
      </c>
      <c r="R7" s="49" t="str">
        <f>IF('Financial Stability'!P7&lt;&gt;"",'Financial Stability'!P7,"")</f>
        <v>In Progress</v>
      </c>
      <c r="S7" s="49" t="str">
        <f>IF('Financial Stability'!Q7&lt;&gt;"",'Financial Stability'!Q7,"")</f>
        <v/>
      </c>
      <c r="T7" s="52">
        <f>IF('Financial Stability'!R7&lt;&gt;"",'Financial Stability'!R7,"")</f>
        <v>0</v>
      </c>
      <c r="U7" s="49" t="str">
        <f>IF('Financial Stability'!S7&lt;&gt;"",'Financial Stability'!S7,"")</f>
        <v/>
      </c>
      <c r="W7" s="30" t="s">
        <v>232</v>
      </c>
      <c r="Y7" s="24"/>
      <c r="AA7" s="38">
        <v>0.4</v>
      </c>
      <c r="AC7" s="24"/>
    </row>
    <row r="8" spans="1:31" hidden="1">
      <c r="A8" s="53" t="s">
        <v>233</v>
      </c>
      <c r="B8" s="53"/>
      <c r="M8" s="49" t="str">
        <f>IF('Financial Stability'!K8&lt;&gt;"",'Financial Stability'!K8,"")</f>
        <v/>
      </c>
      <c r="N8" s="51" t="str">
        <f>IF('Financial Stability'!L8&lt;&gt;"",'Financial Stability'!L8,"")</f>
        <v/>
      </c>
      <c r="O8" s="49" t="str">
        <f>IF('Financial Stability'!M8&lt;&gt;"",'Financial Stability'!M8,"")</f>
        <v/>
      </c>
      <c r="P8" s="50" t="str">
        <f>IF('Financial Stability'!N8&lt;&gt;"",'Financial Stability'!N8,"")</f>
        <v/>
      </c>
      <c r="Q8" s="49" t="str">
        <f>IF('Financial Stability'!O8&lt;&gt;"",'Financial Stability'!O8,"")</f>
        <v/>
      </c>
      <c r="R8" s="49" t="str">
        <f>IF('Financial Stability'!P8&lt;&gt;"",'Financial Stability'!P8,"")</f>
        <v/>
      </c>
      <c r="S8" s="49" t="str">
        <f>IF('Financial Stability'!Q8&lt;&gt;"",'Financial Stability'!Q8,"")</f>
        <v/>
      </c>
      <c r="T8" s="52" t="str">
        <f>IF('Financial Stability'!R8&lt;&gt;"",'Financial Stability'!R8,"")</f>
        <v/>
      </c>
      <c r="U8" s="49" t="str">
        <f>IF('Financial Stability'!S8&lt;&gt;"",'Financial Stability'!S8,"")</f>
        <v/>
      </c>
      <c r="W8" s="36" t="s">
        <v>234</v>
      </c>
      <c r="Y8" s="24"/>
      <c r="AA8" s="38">
        <v>0.5</v>
      </c>
      <c r="AC8" s="24"/>
    </row>
    <row r="9" spans="1:31" hidden="1">
      <c r="A9" s="53" t="s">
        <v>235</v>
      </c>
      <c r="B9" s="53"/>
      <c r="M9" s="49" t="str">
        <f>IF('Financial Stability'!K9&lt;&gt;"",'Financial Stability'!K9,"")</f>
        <v/>
      </c>
      <c r="N9" s="51" t="str">
        <f>IF('Financial Stability'!L9&lt;&gt;"",'Financial Stability'!L9,"")</f>
        <v/>
      </c>
      <c r="O9" s="49" t="str">
        <f>IF('Financial Stability'!M9&lt;&gt;"",'Financial Stability'!M9,"")</f>
        <v/>
      </c>
      <c r="P9" s="50" t="str">
        <f>IF('Financial Stability'!N9&lt;&gt;"",'Financial Stability'!N9,"")</f>
        <v/>
      </c>
      <c r="Q9" s="49" t="str">
        <f>IF('Financial Stability'!O9&lt;&gt;"",'Financial Stability'!O9,"")</f>
        <v/>
      </c>
      <c r="R9" s="49" t="str">
        <f>IF('Financial Stability'!P9&lt;&gt;"",'Financial Stability'!P9,"")</f>
        <v/>
      </c>
      <c r="S9" s="49" t="str">
        <f>IF('Financial Stability'!Q9&lt;&gt;"",'Financial Stability'!Q9,"")</f>
        <v/>
      </c>
      <c r="T9" s="52" t="str">
        <f>IF('Financial Stability'!R9&lt;&gt;"",'Financial Stability'!R9,"")</f>
        <v/>
      </c>
      <c r="U9" s="49" t="str">
        <f>IF('Financial Stability'!S9&lt;&gt;"",'Financial Stability'!S9,"")</f>
        <v/>
      </c>
      <c r="W9" s="15"/>
      <c r="Y9" s="24"/>
      <c r="AA9" s="38">
        <v>0.6</v>
      </c>
      <c r="AC9" s="24"/>
    </row>
    <row r="10" spans="1:31" hidden="1">
      <c r="A10" s="53" t="s">
        <v>236</v>
      </c>
      <c r="B10" s="53"/>
      <c r="M10" s="49" t="str">
        <f>IF('Financial Stability'!K10&lt;&gt;"",'Financial Stability'!K10,"")</f>
        <v/>
      </c>
      <c r="N10" s="51" t="str">
        <f>IF('Financial Stability'!L10&lt;&gt;"",'Financial Stability'!L10,"")</f>
        <v/>
      </c>
      <c r="O10" s="49" t="str">
        <f>IF('Financial Stability'!M10&lt;&gt;"",'Financial Stability'!M10,"")</f>
        <v/>
      </c>
      <c r="P10" s="50" t="str">
        <f>IF('Financial Stability'!N10&lt;&gt;"",'Financial Stability'!N10,"")</f>
        <v/>
      </c>
      <c r="Q10" s="49" t="str">
        <f>IF('Financial Stability'!O10&lt;&gt;"",'Financial Stability'!O10,"")</f>
        <v/>
      </c>
      <c r="R10" s="49" t="str">
        <f>IF('Financial Stability'!P10&lt;&gt;"",'Financial Stability'!P10,"")</f>
        <v/>
      </c>
      <c r="S10" s="49" t="str">
        <f>IF('Financial Stability'!Q10&lt;&gt;"",'Financial Stability'!Q10,"")</f>
        <v/>
      </c>
      <c r="T10" s="52" t="str">
        <f>IF('Financial Stability'!R10&lt;&gt;"",'Financial Stability'!R10,"")</f>
        <v/>
      </c>
      <c r="U10" s="49" t="str">
        <f>IF('Financial Stability'!S10&lt;&gt;"",'Financial Stability'!S10,"")</f>
        <v/>
      </c>
      <c r="W10" s="15"/>
      <c r="Y10" s="24"/>
      <c r="AA10" s="38">
        <v>0.7</v>
      </c>
      <c r="AC10" s="24"/>
    </row>
    <row r="11" spans="1:31" hidden="1">
      <c r="A11" s="53" t="s">
        <v>237</v>
      </c>
      <c r="B11" s="53"/>
      <c r="M11" s="49" t="str">
        <f>IF('Financial Stability'!K11&lt;&gt;"",'Financial Stability'!K11,"")</f>
        <v/>
      </c>
      <c r="N11" s="51" t="str">
        <f>IF('Financial Stability'!L11&lt;&gt;"",'Financial Stability'!L11,"")</f>
        <v/>
      </c>
      <c r="O11" s="49" t="str">
        <f>IF('Financial Stability'!M11&lt;&gt;"",'Financial Stability'!M11,"")</f>
        <v/>
      </c>
      <c r="P11" s="50" t="str">
        <f>IF('Financial Stability'!N11&lt;&gt;"",'Financial Stability'!N11,"")</f>
        <v/>
      </c>
      <c r="Q11" s="49" t="str">
        <f>IF('Financial Stability'!O11&lt;&gt;"",'Financial Stability'!O11,"")</f>
        <v/>
      </c>
      <c r="R11" s="49" t="str">
        <f>IF('Financial Stability'!P11&lt;&gt;"",'Financial Stability'!P11,"")</f>
        <v/>
      </c>
      <c r="S11" s="49" t="str">
        <f>IF('Financial Stability'!Q11&lt;&gt;"",'Financial Stability'!Q11,"")</f>
        <v/>
      </c>
      <c r="T11" s="52" t="str">
        <f>IF('Financial Stability'!R11&lt;&gt;"",'Financial Stability'!R11,"")</f>
        <v/>
      </c>
      <c r="U11" s="49" t="str">
        <f>IF('Financial Stability'!S11&lt;&gt;"",'Financial Stability'!S11,"")</f>
        <v/>
      </c>
      <c r="W11" s="15"/>
      <c r="Y11" s="24"/>
      <c r="AA11" s="38">
        <v>0.8</v>
      </c>
      <c r="AC11" s="24"/>
    </row>
    <row r="12" spans="1:31" hidden="1">
      <c r="A12" s="53" t="s">
        <v>238</v>
      </c>
      <c r="B12" s="53"/>
      <c r="M12" s="49" t="str">
        <f>IF('Financial Stability'!K12&lt;&gt;"",'Financial Stability'!K12,"")</f>
        <v/>
      </c>
      <c r="N12" s="51" t="str">
        <f>IF('Financial Stability'!L12&lt;&gt;"",'Financial Stability'!L12,"")</f>
        <v/>
      </c>
      <c r="O12" s="49" t="str">
        <f>IF('Financial Stability'!M12&lt;&gt;"",'Financial Stability'!M12,"")</f>
        <v/>
      </c>
      <c r="P12" s="50" t="str">
        <f>IF('Financial Stability'!N12&lt;&gt;"",'Financial Stability'!N12,"")</f>
        <v/>
      </c>
      <c r="Q12" s="49" t="str">
        <f>IF('Financial Stability'!O12&lt;&gt;"",'Financial Stability'!O12,"")</f>
        <v/>
      </c>
      <c r="R12" s="49" t="str">
        <f>IF('Financial Stability'!P12&lt;&gt;"",'Financial Stability'!P12,"")</f>
        <v/>
      </c>
      <c r="S12" s="49" t="str">
        <f>IF('Financial Stability'!Q12&lt;&gt;"",'Financial Stability'!Q12,"")</f>
        <v/>
      </c>
      <c r="T12" s="52" t="str">
        <f>IF('Financial Stability'!R12&lt;&gt;"",'Financial Stability'!R12,"")</f>
        <v/>
      </c>
      <c r="U12" s="49" t="str">
        <f>IF('Financial Stability'!S12&lt;&gt;"",'Financial Stability'!S12,"")</f>
        <v/>
      </c>
      <c r="W12" s="15"/>
      <c r="Y12" s="24"/>
      <c r="AA12" s="38">
        <v>0.9</v>
      </c>
      <c r="AC12" s="24"/>
    </row>
    <row r="13" spans="1:31" hidden="1">
      <c r="A13" s="53" t="s">
        <v>239</v>
      </c>
      <c r="B13" s="53"/>
      <c r="M13" s="49" t="str">
        <f>IF('Financial Stability'!K13&lt;&gt;"",'Financial Stability'!K13,"")</f>
        <v/>
      </c>
      <c r="N13" s="51" t="str">
        <f>IF('Financial Stability'!L13&lt;&gt;"",'Financial Stability'!L13,"")</f>
        <v/>
      </c>
      <c r="O13" s="49" t="str">
        <f>IF('Financial Stability'!M13&lt;&gt;"",'Financial Stability'!M13,"")</f>
        <v/>
      </c>
      <c r="P13" s="50" t="str">
        <f>IF('Financial Stability'!N13&lt;&gt;"",'Financial Stability'!N13,"")</f>
        <v/>
      </c>
      <c r="Q13" s="49" t="str">
        <f>IF('Financial Stability'!O13&lt;&gt;"",'Financial Stability'!O13,"")</f>
        <v/>
      </c>
      <c r="R13" s="49" t="str">
        <f>IF('Financial Stability'!P13&lt;&gt;"",'Financial Stability'!P13,"")</f>
        <v/>
      </c>
      <c r="S13" s="49" t="str">
        <f>IF('Financial Stability'!Q13&lt;&gt;"",'Financial Stability'!Q13,"")</f>
        <v/>
      </c>
      <c r="T13" s="52" t="str">
        <f>IF('Financial Stability'!R13&lt;&gt;"",'Financial Stability'!R13,"")</f>
        <v/>
      </c>
      <c r="U13" s="49" t="str">
        <f>IF('Financial Stability'!S13&lt;&gt;"",'Financial Stability'!S13,"")</f>
        <v/>
      </c>
      <c r="W13" s="15"/>
      <c r="Y13" s="24"/>
      <c r="AA13" s="39">
        <v>1</v>
      </c>
      <c r="AC13" s="24"/>
    </row>
    <row r="14" spans="1:31" hidden="1">
      <c r="A14" s="53" t="s">
        <v>240</v>
      </c>
      <c r="B14" s="53"/>
      <c r="M14" s="49" t="str">
        <f>IF('Financial Stability'!K14&lt;&gt;"",'Financial Stability'!K14,"")</f>
        <v/>
      </c>
      <c r="N14" s="51" t="str">
        <f>IF('Financial Stability'!L14&lt;&gt;"",'Financial Stability'!L14,"")</f>
        <v/>
      </c>
      <c r="O14" s="49" t="str">
        <f>IF('Financial Stability'!M14&lt;&gt;"",'Financial Stability'!M14,"")</f>
        <v/>
      </c>
      <c r="P14" s="50" t="str">
        <f>IF('Financial Stability'!N14&lt;&gt;"",'Financial Stability'!N14,"")</f>
        <v/>
      </c>
      <c r="Q14" s="49" t="str">
        <f>IF('Financial Stability'!O14&lt;&gt;"",'Financial Stability'!O14,"")</f>
        <v/>
      </c>
      <c r="R14" s="49" t="str">
        <f>IF('Financial Stability'!P14&lt;&gt;"",'Financial Stability'!P14,"")</f>
        <v/>
      </c>
      <c r="S14" s="49" t="str">
        <f>IF('Financial Stability'!Q14&lt;&gt;"",'Financial Stability'!Q14,"")</f>
        <v/>
      </c>
      <c r="T14" s="52" t="str">
        <f>IF('Financial Stability'!R14&lt;&gt;"",'Financial Stability'!R14,"")</f>
        <v/>
      </c>
      <c r="U14" s="49" t="str">
        <f>IF('Financial Stability'!S14&lt;&gt;"",'Financial Stability'!S14,"")</f>
        <v/>
      </c>
      <c r="W14" s="15"/>
      <c r="Y14" s="24"/>
      <c r="AC14" s="24"/>
    </row>
    <row r="15" spans="1:31" hidden="1">
      <c r="A15" s="53" t="s">
        <v>241</v>
      </c>
      <c r="B15" s="53"/>
      <c r="M15" s="49" t="str">
        <f>IF('Financial Stability'!K15&lt;&gt;"",'Financial Stability'!K15,"")</f>
        <v/>
      </c>
      <c r="N15" s="51" t="str">
        <f>IF('Financial Stability'!L15&lt;&gt;"",'Financial Stability'!L15,"")</f>
        <v/>
      </c>
      <c r="O15" s="49" t="str">
        <f>IF('Financial Stability'!M15&lt;&gt;"",'Financial Stability'!M15,"")</f>
        <v/>
      </c>
      <c r="P15" s="50" t="str">
        <f>IF('Financial Stability'!N15&lt;&gt;"",'Financial Stability'!N15,"")</f>
        <v/>
      </c>
      <c r="Q15" s="49" t="str">
        <f>IF('Financial Stability'!O15&lt;&gt;"",'Financial Stability'!O15,"")</f>
        <v/>
      </c>
      <c r="R15" s="49" t="str">
        <f>IF('Financial Stability'!P15&lt;&gt;"",'Financial Stability'!P15,"")</f>
        <v/>
      </c>
      <c r="S15" s="49" t="str">
        <f>IF('Financial Stability'!Q15&lt;&gt;"",'Financial Stability'!Q15,"")</f>
        <v/>
      </c>
      <c r="T15" s="52" t="str">
        <f>IF('Financial Stability'!R15&lt;&gt;"",'Financial Stability'!R15,"")</f>
        <v/>
      </c>
      <c r="U15" s="49" t="str">
        <f>IF('Financial Stability'!S15&lt;&gt;"",'Financial Stability'!S15,"")</f>
        <v/>
      </c>
      <c r="W15" s="15"/>
      <c r="Y15" s="24"/>
      <c r="AC15" s="24"/>
    </row>
    <row r="16" spans="1:31" hidden="1">
      <c r="A16" s="53" t="s">
        <v>242</v>
      </c>
      <c r="B16" s="53"/>
      <c r="M16" s="49" t="str">
        <f>IF('Financial Stability'!K16&lt;&gt;"",'Financial Stability'!K16,"")</f>
        <v/>
      </c>
      <c r="N16" s="51" t="str">
        <f>IF('Financial Stability'!L16&lt;&gt;"",'Financial Stability'!L16,"")</f>
        <v/>
      </c>
      <c r="O16" s="49" t="str">
        <f>IF('Financial Stability'!M16&lt;&gt;"",'Financial Stability'!M16,"")</f>
        <v/>
      </c>
      <c r="P16" s="50" t="str">
        <f>IF('Financial Stability'!N16&lt;&gt;"",'Financial Stability'!N16,"")</f>
        <v/>
      </c>
      <c r="Q16" s="49" t="str">
        <f>IF('Financial Stability'!O16&lt;&gt;"",'Financial Stability'!O16,"")</f>
        <v/>
      </c>
      <c r="R16" s="49" t="str">
        <f>IF('Financial Stability'!P16&lt;&gt;"",'Financial Stability'!P16,"")</f>
        <v/>
      </c>
      <c r="S16" s="49" t="str">
        <f>IF('Financial Stability'!Q16&lt;&gt;"",'Financial Stability'!Q16,"")</f>
        <v/>
      </c>
      <c r="T16" s="52" t="str">
        <f>IF('Financial Stability'!R16&lt;&gt;"",'Financial Stability'!R16,"")</f>
        <v/>
      </c>
      <c r="U16" s="49" t="str">
        <f>IF('Financial Stability'!S16&lt;&gt;"",'Financial Stability'!S16,"")</f>
        <v/>
      </c>
      <c r="W16" s="15"/>
      <c r="Y16" s="24"/>
      <c r="AC16" s="24"/>
    </row>
    <row r="17" spans="1:29" hidden="1">
      <c r="A17" s="53" t="s">
        <v>243</v>
      </c>
      <c r="B17" s="53"/>
      <c r="M17" s="49" t="str">
        <f>IF('Financial Stability'!K17&lt;&gt;"",'Financial Stability'!K17,"")</f>
        <v/>
      </c>
      <c r="N17" s="51" t="str">
        <f>IF('Financial Stability'!L17&lt;&gt;"",'Financial Stability'!L17,"")</f>
        <v/>
      </c>
      <c r="O17" s="49" t="str">
        <f>IF('Financial Stability'!M17&lt;&gt;"",'Financial Stability'!M17,"")</f>
        <v/>
      </c>
      <c r="P17" s="50" t="str">
        <f>IF('Financial Stability'!N17&lt;&gt;"",'Financial Stability'!N17,"")</f>
        <v/>
      </c>
      <c r="Q17" s="49" t="str">
        <f>IF('Financial Stability'!O17&lt;&gt;"",'Financial Stability'!O17,"")</f>
        <v/>
      </c>
      <c r="R17" s="49" t="str">
        <f>IF('Financial Stability'!P17&lt;&gt;"",'Financial Stability'!P17,"")</f>
        <v/>
      </c>
      <c r="S17" s="49" t="str">
        <f>IF('Financial Stability'!Q17&lt;&gt;"",'Financial Stability'!Q17,"")</f>
        <v/>
      </c>
      <c r="T17" s="52" t="str">
        <f>IF('Financial Stability'!R17&lt;&gt;"",'Financial Stability'!R17,"")</f>
        <v/>
      </c>
      <c r="U17" s="49" t="str">
        <f>IF('Financial Stability'!S17&lt;&gt;"",'Financial Stability'!S17,"")</f>
        <v/>
      </c>
      <c r="W17" s="16"/>
      <c r="Y17" s="25"/>
      <c r="AC17" s="25"/>
    </row>
    <row r="18" spans="1:29">
      <c r="A18" s="6" t="s">
        <v>244</v>
      </c>
      <c r="B18" s="6" t="s">
        <v>211</v>
      </c>
      <c r="C18" s="4" t="s">
        <v>199</v>
      </c>
      <c r="D18" t="s">
        <v>245</v>
      </c>
      <c r="E18" t="s">
        <v>246</v>
      </c>
      <c r="F18" t="s">
        <v>247</v>
      </c>
      <c r="G18" t="s">
        <v>248</v>
      </c>
      <c r="H18" t="s">
        <v>204</v>
      </c>
      <c r="I18" t="s">
        <v>249</v>
      </c>
      <c r="J18" t="s">
        <v>205</v>
      </c>
      <c r="K18" t="s">
        <v>206</v>
      </c>
      <c r="L18" s="17">
        <v>46068</v>
      </c>
      <c r="M18" s="49" t="str">
        <f>IF('Youth Succession Planning'!K3&lt;&gt;"",'Youth Succession Planning'!K3,"")</f>
        <v>Establish Youth Council (10 members) + Shadow Trustees + Key staff positions proteges allocated</v>
      </c>
      <c r="N18" s="51">
        <f>IF('Youth Succession Planning'!L3&lt;&gt;"",'Youth Succession Planning'!L3,"")</f>
        <v>1</v>
      </c>
      <c r="O18" s="49" t="str">
        <f>IF('Youth Succession Planning'!M3&lt;&gt;"",'Youth Succession Planning'!M3,"")</f>
        <v>Clear roles; mentor pairing; monthly meetings, Liaise with Madrassa, Scouts, Boxing and Taekwondo functions</v>
      </c>
      <c r="P18" s="49" t="str">
        <f>IF('Youth Succession Planning'!N3&lt;&gt;"",'Youth Succession Planning'!N3,"")</f>
        <v>Target end Ramadan for first results</v>
      </c>
      <c r="Q18" s="49" t="str">
        <f>IF('Youth Succession Planning'!O3&lt;&gt;"",'Youth Succession Planning'!O3,"")</f>
        <v xml:space="preserve">Ramadan: Volunteer Request, Omar Youth talks &gt; key to identify youth. 
Youth Experience event plan for post Ramadan. </v>
      </c>
      <c r="R18" s="49" t="str">
        <f>IF('Youth Succession Planning'!P3&lt;&gt;"",'Youth Succession Planning'!P3,"")</f>
        <v>In Progress</v>
      </c>
      <c r="S18" s="49" t="str">
        <f>IF('Youth Succession Planning'!Q3&lt;&gt;"",'Youth Succession Planning'!Q3,"")</f>
        <v/>
      </c>
      <c r="T18" s="52">
        <f>IF('Youth Succession Planning'!R3&lt;&gt;"",'Youth Succession Planning'!R3,"")</f>
        <v>0.8</v>
      </c>
      <c r="U18" s="49" t="str">
        <f>IF('Youth Succession Planning'!S3&lt;&gt;"",'Youth Succession Planning'!S3,"")</f>
        <v xml:space="preserve">Results Ramadan&gt; Youth activiites - building responsibility for the youth across the mosque. Demonstrated across youth events, running the coffee cart (i.e not just running, but also increasing product range to generate more "revenue" for the mosque), youth volunteers. How does this line with pipelne of young leaders: We have identified young leaders who we would recommend as part of a youth leadership strucutre that can support our growth. So based on we have identnfied caditates and now its about setting the strucutre, we have completed 40%, next 20% is setting structure, next 20% is executing it, and final 20% is ensuring its operating as part of the wider management teams. 
Q2: setting up youth board in progress. </v>
      </c>
    </row>
    <row r="19" spans="1:29">
      <c r="A19" s="6" t="s">
        <v>250</v>
      </c>
      <c r="B19" s="6" t="s">
        <v>211</v>
      </c>
      <c r="C19" s="4" t="s">
        <v>199</v>
      </c>
      <c r="D19" t="s">
        <v>251</v>
      </c>
      <c r="E19" t="s">
        <v>252</v>
      </c>
      <c r="F19" t="s">
        <v>253</v>
      </c>
      <c r="G19" t="s">
        <v>248</v>
      </c>
      <c r="H19" t="s">
        <v>204</v>
      </c>
      <c r="I19" t="s">
        <v>249</v>
      </c>
      <c r="J19" t="s">
        <v>219</v>
      </c>
      <c r="K19" t="s">
        <v>205</v>
      </c>
      <c r="L19" s="17">
        <v>46203</v>
      </c>
      <c r="M19" s="49" t="str">
        <f>IF('Youth Succession Planning'!K4&lt;&gt;"",'Youth Succession Planning'!K4,"")</f>
        <v>Quarterly youth volunteer drives</v>
      </c>
      <c r="N19" s="51">
        <f>IF('Youth Succession Planning'!L4&lt;&gt;"",'Youth Succession Planning'!L4,"")</f>
        <v>1</v>
      </c>
      <c r="O19" s="49" t="str">
        <f>IF('Youth Succession Planning'!M4&lt;&gt;"",'Youth Succession Planning'!M4,"")</f>
        <v>School/college outreach; buddy system</v>
      </c>
      <c r="P19" s="49" t="str">
        <f>IF('Youth Succession Planning'!N4&lt;&gt;"",'Youth Succession Planning'!N4,"")</f>
        <v>Target end Ramadan for first results</v>
      </c>
      <c r="Q19" s="49" t="str">
        <f>IF('Youth Succession Planning'!O4&lt;&gt;"",'Youth Succession Planning'!O4,"")</f>
        <v xml:space="preserve">Ramadan - youth voltuneering kicked off. </v>
      </c>
      <c r="R19" s="49" t="str">
        <f>IF('Youth Succession Planning'!P4&lt;&gt;"",'Youth Succession Planning'!P4,"")</f>
        <v>In Progress</v>
      </c>
      <c r="S19" s="49" t="str">
        <f>IF('Youth Succession Planning'!Q4&lt;&gt;"",'Youth Succession Planning'!Q4,"")</f>
        <v/>
      </c>
      <c r="T19" s="52">
        <f>IF('Youth Succession Planning'!R4&lt;&gt;"",'Youth Succession Planning'!R4,"")</f>
        <v>0.6</v>
      </c>
      <c r="U19" s="49" t="str">
        <f>IF('Youth Succession Planning'!S4&lt;&gt;"",'Youth Succession Planning'!S4,"")</f>
        <v>Q1:Results Ramadan: Youth volunteering from our advertising was not as successful but we had youth volunteering more by supporting the young adults i.e. Davids kids were helping coffee stand. We just need a bit more forward planning around youth volunteer requirements leading up to events, lead with young adults .. this will yield better results in future. 
Q2: We are building a core set of youth who are very engaged. Summer will be an important time to build events which bring our youth together.</v>
      </c>
    </row>
    <row r="20" spans="1:29">
      <c r="A20" s="6" t="s">
        <v>254</v>
      </c>
      <c r="B20" s="6" t="s">
        <v>211</v>
      </c>
      <c r="C20" s="4" t="s">
        <v>199</v>
      </c>
      <c r="D20" t="s">
        <v>255</v>
      </c>
      <c r="E20" t="s">
        <v>256</v>
      </c>
      <c r="F20" t="s">
        <v>257</v>
      </c>
      <c r="G20" t="s">
        <v>248</v>
      </c>
      <c r="H20" t="s">
        <v>204</v>
      </c>
      <c r="I20" t="s">
        <v>249</v>
      </c>
      <c r="J20" t="s">
        <v>205</v>
      </c>
      <c r="K20" t="s">
        <v>205</v>
      </c>
      <c r="L20" s="17">
        <v>46112</v>
      </c>
      <c r="M20" s="49" t="str">
        <f>IF('Youth Succession Planning'!K5&lt;&gt;"",'Youth Succession Planning'!K5,"")</f>
        <v>Plan and deliver targeted talks for all youth demographics</v>
      </c>
      <c r="N20" s="51">
        <f>IF('Youth Succession Planning'!L5&lt;&gt;"",'Youth Succession Planning'!L5,"")</f>
        <v>6</v>
      </c>
      <c r="O20" s="49" t="str">
        <f>IF('Youth Succession Planning'!M5&lt;&gt;"",'Youth Succession Planning'!M5,"")</f>
        <v>1 every 2 months</v>
      </c>
      <c r="P20" s="49" t="str">
        <f>IF('Youth Succession Planning'!N5&lt;&gt;"",'Youth Succession Planning'!N5,"")</f>
        <v>Target end Ramadan for first results</v>
      </c>
      <c r="Q20" s="49" t="str">
        <f>IF('Youth Succession Planning'!O5&lt;&gt;"",'Youth Succession Planning'!O5,"")</f>
        <v xml:space="preserve">Working with Omar to create a better set of talks for youth. Focus is not purley on topic, but more on connecting them to mentors + people they can respect/look up too (people who are not to old). First test of this will be in Ramadan. </v>
      </c>
      <c r="R20" s="49" t="str">
        <f>IF('Youth Succession Planning'!P5&lt;&gt;"",'Youth Succession Planning'!P5,"")</f>
        <v>In Progress</v>
      </c>
      <c r="S20" s="49" t="str">
        <f>IF('Youth Succession Planning'!Q5&lt;&gt;"",'Youth Succession Planning'!Q5,"")</f>
        <v/>
      </c>
      <c r="T20" s="52">
        <f>IF('Youth Succession Planning'!R5&lt;&gt;"",'Youth Succession Planning'!R5,"")</f>
        <v>0.6</v>
      </c>
      <c r="U20" s="49" t="str">
        <f>IF('Youth Succession Planning'!S5&lt;&gt;"",'Youth Succession Planning'!S5,"")</f>
        <v>Ramadan Resulst &gt; Continue youth. Omar and Eni doing a great job. Think we need a sisters lead one switch at some point.  60% completion rate once we get consisten cy, have new people joining, 80% once we see engagement from youth outsend youth talks and final 100% swhen we have sister led sessions as well</v>
      </c>
    </row>
    <row r="21" spans="1:29">
      <c r="A21" s="6" t="s">
        <v>258</v>
      </c>
      <c r="B21" s="6" t="s">
        <v>211</v>
      </c>
      <c r="C21" s="4" t="s">
        <v>199</v>
      </c>
      <c r="D21" t="s">
        <v>259</v>
      </c>
      <c r="E21" t="s">
        <v>256</v>
      </c>
      <c r="F21" t="s">
        <v>260</v>
      </c>
      <c r="G21" t="s">
        <v>248</v>
      </c>
      <c r="H21" t="s">
        <v>204</v>
      </c>
      <c r="I21" t="s">
        <v>249</v>
      </c>
      <c r="J21" t="s">
        <v>206</v>
      </c>
      <c r="K21" t="s">
        <v>206</v>
      </c>
      <c r="L21" s="17">
        <v>46112</v>
      </c>
      <c r="M21" s="49" t="str">
        <f>IF('Youth Succession Planning'!K6&lt;&gt;"",'Youth Succession Planning'!K6,"")</f>
        <v>Plan and deliver fortnightly events, social, Islamic, food etc for specific youth demographics</v>
      </c>
      <c r="N21" s="51">
        <f>IF('Youth Succession Planning'!L6&lt;&gt;"",'Youth Succession Planning'!L6,"")</f>
        <v>24</v>
      </c>
      <c r="O21" s="49" t="str">
        <f>IF('Youth Succession Planning'!M6&lt;&gt;"",'Youth Succession Planning'!M6,"")</f>
        <v>2 every month</v>
      </c>
      <c r="P21" s="49" t="str">
        <f>IF('Youth Succession Planning'!N6&lt;&gt;"",'Youth Succession Planning'!N6,"")</f>
        <v>on-going</v>
      </c>
      <c r="Q21" s="49" t="str">
        <f>IF('Youth Succession Planning'!O6&lt;&gt;"",'Youth Succession Planning'!O6,"")</f>
        <v xml:space="preserve">While this is aspiration. For youth, possible. We will continue with consistency on boys and girls circles. For the YA, we want to build more on providing experiences e.g. hike at seven sisters etc. Build stronger bonds + friendships. This helps them feel more connected to the mosque and the community. </v>
      </c>
      <c r="R21" s="49" t="str">
        <f>IF('Youth Succession Planning'!P6&lt;&gt;"",'Youth Succession Planning'!P6,"")</f>
        <v>In Progress</v>
      </c>
      <c r="S21" s="49" t="str">
        <f>IF('Youth Succession Planning'!Q6&lt;&gt;"",'Youth Succession Planning'!Q6,"")</f>
        <v/>
      </c>
      <c r="T21" s="52">
        <f>IF('Youth Succession Planning'!R6&lt;&gt;"",'Youth Succession Planning'!R6,"")</f>
        <v>0.5</v>
      </c>
      <c r="U21" s="49" t="str">
        <f>IF('Youth Succession Planning'!S6&lt;&gt;"",'Youth Succession Planning'!S6,"")</f>
        <v xml:space="preserve">Q1: Ideas being progress: 
Experienced based events. 
Volunteering. 
DoE - our first volunteer. 
Building plans. 
Q2: Summer will be key. Where we want to get more volunteers and more experiences for youth. </v>
      </c>
    </row>
    <row r="22" spans="1:29">
      <c r="A22" s="6" t="s">
        <v>261</v>
      </c>
      <c r="B22" s="6" t="s">
        <v>211</v>
      </c>
      <c r="C22" s="4" t="s">
        <v>199</v>
      </c>
      <c r="D22" t="s">
        <v>262</v>
      </c>
      <c r="E22" t="s">
        <v>263</v>
      </c>
      <c r="F22" t="s">
        <v>247</v>
      </c>
      <c r="G22" t="s">
        <v>264</v>
      </c>
      <c r="H22" t="s">
        <v>204</v>
      </c>
      <c r="I22" t="s">
        <v>265</v>
      </c>
      <c r="J22" t="s">
        <v>219</v>
      </c>
      <c r="K22" t="s">
        <v>205</v>
      </c>
      <c r="L22" s="17">
        <v>46112</v>
      </c>
      <c r="M22" s="49" t="str">
        <f>IF('Youth Succession Planning'!K7&lt;&gt;"",'Youth Succession Planning'!K7,"")</f>
        <v>Training calendar (safeguarding, first aid, comms)</v>
      </c>
      <c r="N22" s="51">
        <f>IF('Youth Succession Planning'!L7&lt;&gt;"",'Youth Succession Planning'!L7,"")</f>
        <v>1</v>
      </c>
      <c r="O22" s="49" t="str">
        <f>IF('Youth Succession Planning'!M7&lt;&gt;"",'Youth Succession Planning'!M7,"")</f>
        <v>Book trainers; certificates; track completion</v>
      </c>
      <c r="P22" s="49" t="str">
        <f>IF('Youth Succession Planning'!N7&lt;&gt;"",'Youth Succession Planning'!N7,"")</f>
        <v>18.01.26</v>
      </c>
      <c r="Q22" s="49" t="str">
        <f>IF('Youth Succession Planning'!O7&lt;&gt;"",'Youth Succession Planning'!O7,"")</f>
        <v>Begin leadership development programme with Yusra training</v>
      </c>
      <c r="R22" s="49" t="str">
        <f>IF('Youth Succession Planning'!P7&lt;&gt;"",'Youth Succession Planning'!P7,"")</f>
        <v>In Progress</v>
      </c>
      <c r="S22" s="49" t="str">
        <f>IF('Youth Succession Planning'!Q7&lt;&gt;"",'Youth Succession Planning'!Q7,"")</f>
        <v>Completion of pre-training 1-2-1 sessions with OPEX</v>
      </c>
      <c r="T22" s="52">
        <f>IF('Youth Succession Planning'!R7&lt;&gt;"",'Youth Succession Planning'!R7,"")</f>
        <v>0.7</v>
      </c>
      <c r="U22" s="49" t="str">
        <f>IF('Youth Succession Planning'!S7&lt;&gt;"",'Youth Succession Planning'!S7,"")</f>
        <v>Youth Lead Afsor Miah is captured within this training programme. Following MOSCARS awards ceremony several youth volunteers were identified for consideration for a youth council or shadow trustee/directors board. Shaffiq has put document tyogether detailing proposed structure. Some of the youth m,embers have also attended Yusar training sessions.</v>
      </c>
    </row>
    <row r="23" spans="1:29">
      <c r="A23" s="6" t="s">
        <v>266</v>
      </c>
      <c r="B23" s="6" t="s">
        <v>211</v>
      </c>
      <c r="C23" s="4" t="s">
        <v>199</v>
      </c>
      <c r="D23" t="s">
        <v>262</v>
      </c>
      <c r="E23" t="s">
        <v>246</v>
      </c>
      <c r="F23" t="s">
        <v>267</v>
      </c>
      <c r="G23" t="s">
        <v>268</v>
      </c>
      <c r="H23" t="s">
        <v>204</v>
      </c>
      <c r="I23" t="s">
        <v>269</v>
      </c>
      <c r="J23" t="s">
        <v>205</v>
      </c>
      <c r="K23" t="s">
        <v>205</v>
      </c>
      <c r="L23" s="17">
        <v>46112</v>
      </c>
      <c r="M23" s="49" t="str">
        <f>IF('Youth Succession Planning'!K8&lt;&gt;"",'Youth Succession Planning'!K8,"")</f>
        <v>Increase number of Scouts places- key issue; staffing</v>
      </c>
      <c r="N23" s="51">
        <f>IF('Youth Succession Planning'!L8&lt;&gt;"",'Youth Succession Planning'!L8,"")</f>
        <v>1</v>
      </c>
      <c r="O23" s="49" t="str">
        <f>IF('Youth Succession Planning'!M8&lt;&gt;"",'Youth Succession Planning'!M8,"")</f>
        <v>Increase staff numbers</v>
      </c>
      <c r="P23" s="49" t="str">
        <f>IF('Youth Succession Planning'!N8&lt;&gt;"",'Youth Succession Planning'!N8,"")</f>
        <v>31.01.26</v>
      </c>
      <c r="Q23" s="49" t="str">
        <f>IF('Youth Succession Planning'!O8&lt;&gt;"",'Youth Succession Planning'!O8,"")</f>
        <v xml:space="preserve">Advertising targeted for Q1. Story around impact and outcomes. We will keep on top of this. We will review impact. </v>
      </c>
      <c r="R23" s="49" t="str">
        <f>IF('Youth Succession Planning'!P8&lt;&gt;"",'Youth Succession Planning'!P8,"")</f>
        <v>Not Started</v>
      </c>
      <c r="S23" s="49" t="str">
        <f>IF('Youth Succession Planning'!Q8&lt;&gt;"",'Youth Succession Planning'!Q8,"")</f>
        <v/>
      </c>
      <c r="T23" s="52">
        <f>IF('Youth Succession Planning'!R8&lt;&gt;"",'Youth Succession Planning'!R8,"")</f>
        <v>0</v>
      </c>
      <c r="U23" s="49" t="str">
        <f>IF('Youth Succession Planning'!S8&lt;&gt;"",'Youth Succession Planning'!S8,"")</f>
        <v>Risk: Scout leader is leaving. Need to first onboard a new lead
Lack of volunteers are we progressing this?</v>
      </c>
    </row>
    <row r="24" spans="1:29" hidden="1">
      <c r="A24" s="6" t="s">
        <v>270</v>
      </c>
      <c r="B24" s="6"/>
      <c r="M24" s="49" t="str">
        <f>IF('Youth Succession Planning'!K9&lt;&gt;"",'Youth Succession Planning'!K9,"")</f>
        <v/>
      </c>
      <c r="N24" s="51" t="str">
        <f>IF('Youth Succession Planning'!L9&lt;&gt;"",'Youth Succession Planning'!L9,"")</f>
        <v/>
      </c>
      <c r="O24" s="49" t="str">
        <f>IF('Youth Succession Planning'!M9&lt;&gt;"",'Youth Succession Planning'!M9,"")</f>
        <v/>
      </c>
      <c r="P24" s="49" t="str">
        <f>IF('Youth Succession Planning'!N9&lt;&gt;"",'Youth Succession Planning'!N9,"")</f>
        <v/>
      </c>
      <c r="Q24" s="49" t="str">
        <f>IF('Youth Succession Planning'!O9&lt;&gt;"",'Youth Succession Planning'!O9,"")</f>
        <v/>
      </c>
      <c r="R24" s="49" t="str">
        <f>IF('Youth Succession Planning'!P9&lt;&gt;"",'Youth Succession Planning'!P9,"")</f>
        <v/>
      </c>
      <c r="S24" s="49" t="str">
        <f>IF('Youth Succession Planning'!Q9&lt;&gt;"",'Youth Succession Planning'!Q9,"")</f>
        <v/>
      </c>
      <c r="T24" s="52" t="str">
        <f>IF('Youth Succession Planning'!R9&lt;&gt;"",'Youth Succession Planning'!R9,"")</f>
        <v/>
      </c>
      <c r="U24" s="49" t="str">
        <f>IF('Youth Succession Planning'!S9&lt;&gt;"",'Youth Succession Planning'!S9,"")</f>
        <v/>
      </c>
    </row>
    <row r="25" spans="1:29" hidden="1">
      <c r="A25" s="6" t="s">
        <v>271</v>
      </c>
      <c r="B25" s="6"/>
      <c r="M25" s="49" t="str">
        <f>IF('Youth Succession Planning'!K10&lt;&gt;"",'Youth Succession Planning'!K10,"")</f>
        <v/>
      </c>
      <c r="N25" s="51" t="str">
        <f>IF('Youth Succession Planning'!L10&lt;&gt;"",'Youth Succession Planning'!L10,"")</f>
        <v/>
      </c>
      <c r="O25" s="49" t="str">
        <f>IF('Youth Succession Planning'!M10&lt;&gt;"",'Youth Succession Planning'!M10,"")</f>
        <v/>
      </c>
      <c r="P25" s="49" t="str">
        <f>IF('Youth Succession Planning'!N10&lt;&gt;"",'Youth Succession Planning'!N10,"")</f>
        <v/>
      </c>
      <c r="Q25" s="49" t="str">
        <f>IF('Youth Succession Planning'!O10&lt;&gt;"",'Youth Succession Planning'!O10,"")</f>
        <v/>
      </c>
      <c r="R25" s="49" t="str">
        <f>IF('Youth Succession Planning'!P10&lt;&gt;"",'Youth Succession Planning'!P10,"")</f>
        <v/>
      </c>
      <c r="S25" s="49" t="str">
        <f>IF('Youth Succession Planning'!Q10&lt;&gt;"",'Youth Succession Planning'!Q10,"")</f>
        <v/>
      </c>
      <c r="T25" s="52" t="str">
        <f>IF('Youth Succession Planning'!R10&lt;&gt;"",'Youth Succession Planning'!R10,"")</f>
        <v/>
      </c>
      <c r="U25" s="49" t="str">
        <f>IF('Youth Succession Planning'!S10&lt;&gt;"",'Youth Succession Planning'!S10,"")</f>
        <v/>
      </c>
    </row>
    <row r="26" spans="1:29" hidden="1">
      <c r="A26" s="6" t="s">
        <v>272</v>
      </c>
      <c r="B26" s="6"/>
      <c r="M26" s="49" t="str">
        <f>IF('Youth Succession Planning'!K11&lt;&gt;"",'Youth Succession Planning'!K11,"")</f>
        <v/>
      </c>
      <c r="N26" s="51" t="str">
        <f>IF('Youth Succession Planning'!L11&lt;&gt;"",'Youth Succession Planning'!L11,"")</f>
        <v/>
      </c>
      <c r="O26" s="49" t="str">
        <f>IF('Youth Succession Planning'!M11&lt;&gt;"",'Youth Succession Planning'!M11,"")</f>
        <v/>
      </c>
      <c r="P26" s="49" t="str">
        <f>IF('Youth Succession Planning'!N11&lt;&gt;"",'Youth Succession Planning'!N11,"")</f>
        <v/>
      </c>
      <c r="Q26" s="49" t="str">
        <f>IF('Youth Succession Planning'!O11&lt;&gt;"",'Youth Succession Planning'!O11,"")</f>
        <v/>
      </c>
      <c r="R26" s="49" t="str">
        <f>IF('Youth Succession Planning'!P11&lt;&gt;"",'Youth Succession Planning'!P11,"")</f>
        <v/>
      </c>
      <c r="S26" s="49" t="str">
        <f>IF('Youth Succession Planning'!Q11&lt;&gt;"",'Youth Succession Planning'!Q11,"")</f>
        <v/>
      </c>
      <c r="T26" s="52" t="str">
        <f>IF('Youth Succession Planning'!R11&lt;&gt;"",'Youth Succession Planning'!R11,"")</f>
        <v/>
      </c>
      <c r="U26" s="49" t="str">
        <f>IF('Youth Succession Planning'!S11&lt;&gt;"",'Youth Succession Planning'!S11,"")</f>
        <v/>
      </c>
    </row>
    <row r="27" spans="1:29" hidden="1">
      <c r="A27" s="6" t="s">
        <v>273</v>
      </c>
      <c r="B27" s="6"/>
      <c r="M27" s="49" t="str">
        <f>IF('Youth Succession Planning'!K12&lt;&gt;"",'Youth Succession Planning'!K12,"")</f>
        <v/>
      </c>
      <c r="N27" s="51" t="str">
        <f>IF('Youth Succession Planning'!L12&lt;&gt;"",'Youth Succession Planning'!L12,"")</f>
        <v/>
      </c>
      <c r="O27" s="49" t="str">
        <f>IF('Youth Succession Planning'!M12&lt;&gt;"",'Youth Succession Planning'!M12,"")</f>
        <v/>
      </c>
      <c r="P27" s="49" t="str">
        <f>IF('Youth Succession Planning'!N12&lt;&gt;"",'Youth Succession Planning'!N12,"")</f>
        <v/>
      </c>
      <c r="Q27" s="49" t="str">
        <f>IF('Youth Succession Planning'!O12&lt;&gt;"",'Youth Succession Planning'!O12,"")</f>
        <v/>
      </c>
      <c r="R27" s="49" t="str">
        <f>IF('Youth Succession Planning'!P12&lt;&gt;"",'Youth Succession Planning'!P12,"")</f>
        <v/>
      </c>
      <c r="S27" s="49" t="str">
        <f>IF('Youth Succession Planning'!Q12&lt;&gt;"",'Youth Succession Planning'!Q12,"")</f>
        <v/>
      </c>
      <c r="T27" s="52" t="str">
        <f>IF('Youth Succession Planning'!R12&lt;&gt;"",'Youth Succession Planning'!R12,"")</f>
        <v/>
      </c>
      <c r="U27" s="49" t="str">
        <f>IF('Youth Succession Planning'!S12&lt;&gt;"",'Youth Succession Planning'!S12,"")</f>
        <v/>
      </c>
    </row>
    <row r="28" spans="1:29" hidden="1">
      <c r="A28" s="6" t="s">
        <v>274</v>
      </c>
      <c r="B28" s="6"/>
      <c r="M28" s="49" t="str">
        <f>IF('Youth Succession Planning'!K13&lt;&gt;"",'Youth Succession Planning'!K13,"")</f>
        <v/>
      </c>
      <c r="N28" s="51" t="str">
        <f>IF('Youth Succession Planning'!L13&lt;&gt;"",'Youth Succession Planning'!L13,"")</f>
        <v/>
      </c>
      <c r="O28" s="49" t="str">
        <f>IF('Youth Succession Planning'!M13&lt;&gt;"",'Youth Succession Planning'!M13,"")</f>
        <v/>
      </c>
      <c r="P28" s="49" t="str">
        <f>IF('Youth Succession Planning'!N13&lt;&gt;"",'Youth Succession Planning'!N13,"")</f>
        <v/>
      </c>
      <c r="Q28" s="49" t="str">
        <f>IF('Youth Succession Planning'!O13&lt;&gt;"",'Youth Succession Planning'!O13,"")</f>
        <v/>
      </c>
      <c r="R28" s="49" t="str">
        <f>IF('Youth Succession Planning'!P13&lt;&gt;"",'Youth Succession Planning'!P13,"")</f>
        <v/>
      </c>
      <c r="S28" s="49" t="str">
        <f>IF('Youth Succession Planning'!Q13&lt;&gt;"",'Youth Succession Planning'!Q13,"")</f>
        <v/>
      </c>
      <c r="T28" s="52" t="str">
        <f>IF('Youth Succession Planning'!R13&lt;&gt;"",'Youth Succession Planning'!R13,"")</f>
        <v/>
      </c>
      <c r="U28" s="49" t="str">
        <f>IF('Youth Succession Planning'!S13&lt;&gt;"",'Youth Succession Planning'!S13,"")</f>
        <v/>
      </c>
    </row>
    <row r="29" spans="1:29" hidden="1">
      <c r="A29" s="6" t="s">
        <v>275</v>
      </c>
      <c r="B29" s="6"/>
      <c r="M29" s="49" t="str">
        <f>IF('Youth Succession Planning'!K14&lt;&gt;"",'Youth Succession Planning'!K14,"")</f>
        <v/>
      </c>
      <c r="N29" s="51" t="str">
        <f>IF('Youth Succession Planning'!L14&lt;&gt;"",'Youth Succession Planning'!L14,"")</f>
        <v/>
      </c>
      <c r="O29" s="49" t="str">
        <f>IF('Youth Succession Planning'!M14&lt;&gt;"",'Youth Succession Planning'!M14,"")</f>
        <v/>
      </c>
      <c r="P29" s="49" t="str">
        <f>IF('Youth Succession Planning'!N14&lt;&gt;"",'Youth Succession Planning'!N14,"")</f>
        <v/>
      </c>
      <c r="Q29" s="49" t="str">
        <f>IF('Youth Succession Planning'!O14&lt;&gt;"",'Youth Succession Planning'!O14,"")</f>
        <v/>
      </c>
      <c r="R29" s="49" t="str">
        <f>IF('Youth Succession Planning'!P14&lt;&gt;"",'Youth Succession Planning'!P14,"")</f>
        <v/>
      </c>
      <c r="S29" s="49" t="str">
        <f>IF('Youth Succession Planning'!Q14&lt;&gt;"",'Youth Succession Planning'!Q14,"")</f>
        <v/>
      </c>
      <c r="T29" s="52" t="str">
        <f>IF('Youth Succession Planning'!R14&lt;&gt;"",'Youth Succession Planning'!R14,"")</f>
        <v/>
      </c>
      <c r="U29" s="49" t="str">
        <f>IF('Youth Succession Planning'!S14&lt;&gt;"",'Youth Succession Planning'!S14,"")</f>
        <v/>
      </c>
    </row>
    <row r="30" spans="1:29" hidden="1">
      <c r="A30" s="6" t="s">
        <v>276</v>
      </c>
      <c r="B30" s="6"/>
      <c r="M30" s="49" t="str">
        <f>IF('Youth Succession Planning'!K15&lt;&gt;"",'Youth Succession Planning'!K15,"")</f>
        <v/>
      </c>
      <c r="N30" s="51" t="str">
        <f>IF('Youth Succession Planning'!L15&lt;&gt;"",'Youth Succession Planning'!L15,"")</f>
        <v/>
      </c>
      <c r="O30" s="49" t="str">
        <f>IF('Youth Succession Planning'!M15&lt;&gt;"",'Youth Succession Planning'!M15,"")</f>
        <v/>
      </c>
      <c r="P30" s="49" t="str">
        <f>IF('Youth Succession Planning'!N15&lt;&gt;"",'Youth Succession Planning'!N15,"")</f>
        <v/>
      </c>
      <c r="Q30" s="49" t="str">
        <f>IF('Youth Succession Planning'!O15&lt;&gt;"",'Youth Succession Planning'!O15,"")</f>
        <v/>
      </c>
      <c r="R30" s="49" t="str">
        <f>IF('Youth Succession Planning'!P15&lt;&gt;"",'Youth Succession Planning'!P15,"")</f>
        <v/>
      </c>
      <c r="S30" s="49" t="str">
        <f>IF('Youth Succession Planning'!Q15&lt;&gt;"",'Youth Succession Planning'!Q15,"")</f>
        <v/>
      </c>
      <c r="T30" s="52" t="str">
        <f>IF('Youth Succession Planning'!R15&lt;&gt;"",'Youth Succession Planning'!R15,"")</f>
        <v/>
      </c>
      <c r="U30" s="49" t="str">
        <f>IF('Youth Succession Planning'!S15&lt;&gt;"",'Youth Succession Planning'!S15,"")</f>
        <v/>
      </c>
    </row>
    <row r="31" spans="1:29" hidden="1">
      <c r="A31" s="6" t="s">
        <v>277</v>
      </c>
      <c r="B31" s="6"/>
      <c r="M31" s="49" t="str">
        <f>IF('Youth Succession Planning'!K16&lt;&gt;"",'Youth Succession Planning'!K16,"")</f>
        <v/>
      </c>
      <c r="N31" s="51" t="str">
        <f>IF('Youth Succession Planning'!L16&lt;&gt;"",'Youth Succession Planning'!L16,"")</f>
        <v/>
      </c>
      <c r="O31" s="49" t="str">
        <f>IF('Youth Succession Planning'!M16&lt;&gt;"",'Youth Succession Planning'!M16,"")</f>
        <v/>
      </c>
      <c r="P31" s="49" t="str">
        <f>IF('Youth Succession Planning'!N16&lt;&gt;"",'Youth Succession Planning'!N16,"")</f>
        <v/>
      </c>
      <c r="Q31" s="49" t="str">
        <f>IF('Youth Succession Planning'!O16&lt;&gt;"",'Youth Succession Planning'!O16,"")</f>
        <v/>
      </c>
      <c r="R31" s="49" t="str">
        <f>IF('Youth Succession Planning'!P16&lt;&gt;"",'Youth Succession Planning'!P16,"")</f>
        <v/>
      </c>
      <c r="S31" s="49" t="str">
        <f>IF('Youth Succession Planning'!Q16&lt;&gt;"",'Youth Succession Planning'!Q16,"")</f>
        <v/>
      </c>
      <c r="T31" s="52" t="str">
        <f>IF('Youth Succession Planning'!R16&lt;&gt;"",'Youth Succession Planning'!R16,"")</f>
        <v/>
      </c>
      <c r="U31" s="49" t="str">
        <f>IF('Youth Succession Planning'!S16&lt;&gt;"",'Youth Succession Planning'!S16,"")</f>
        <v/>
      </c>
    </row>
    <row r="32" spans="1:29" hidden="1">
      <c r="A32" s="6" t="s">
        <v>278</v>
      </c>
      <c r="B32" s="6"/>
      <c r="M32" s="49" t="str">
        <f>IF('Youth Succession Planning'!K17&lt;&gt;"",'Youth Succession Planning'!K17,"")</f>
        <v/>
      </c>
      <c r="N32" s="51" t="str">
        <f>IF('Youth Succession Planning'!L17&lt;&gt;"",'Youth Succession Planning'!L17,"")</f>
        <v/>
      </c>
      <c r="O32" s="49" t="str">
        <f>IF('Youth Succession Planning'!M17&lt;&gt;"",'Youth Succession Planning'!M17,"")</f>
        <v/>
      </c>
      <c r="P32" s="49" t="str">
        <f>IF('Youth Succession Planning'!N17&lt;&gt;"",'Youth Succession Planning'!N17,"")</f>
        <v/>
      </c>
      <c r="Q32" s="49" t="str">
        <f>IF('Youth Succession Planning'!O17&lt;&gt;"",'Youth Succession Planning'!O17,"")</f>
        <v/>
      </c>
      <c r="R32" s="49" t="str">
        <f>IF('Youth Succession Planning'!P17&lt;&gt;"",'Youth Succession Planning'!P17,"")</f>
        <v/>
      </c>
      <c r="S32" s="49" t="str">
        <f>IF('Youth Succession Planning'!Q17&lt;&gt;"",'Youth Succession Planning'!Q17,"")</f>
        <v/>
      </c>
      <c r="T32" s="52" t="str">
        <f>IF('Youth Succession Planning'!R17&lt;&gt;"",'Youth Succession Planning'!R17,"")</f>
        <v/>
      </c>
      <c r="U32" s="49" t="str">
        <f>IF('Youth Succession Planning'!S17&lt;&gt;"",'Youth Succession Planning'!S17,"")</f>
        <v/>
      </c>
    </row>
    <row r="33" spans="1:21">
      <c r="A33" s="7" t="s">
        <v>279</v>
      </c>
      <c r="B33" s="7" t="s">
        <v>220</v>
      </c>
      <c r="C33" s="4" t="s">
        <v>199</v>
      </c>
      <c r="D33" t="s">
        <v>280</v>
      </c>
      <c r="E33" t="s">
        <v>281</v>
      </c>
      <c r="F33" t="s">
        <v>282</v>
      </c>
      <c r="G33" t="s">
        <v>283</v>
      </c>
      <c r="H33" t="s">
        <v>204</v>
      </c>
      <c r="I33" t="s">
        <v>284</v>
      </c>
      <c r="J33" t="s">
        <v>205</v>
      </c>
      <c r="K33" t="s">
        <v>206</v>
      </c>
      <c r="L33" s="17">
        <v>46173</v>
      </c>
      <c r="M33" s="49" t="str">
        <f>IF('Wider Community Engagement'!K3&lt;&gt;"",'Wider Community Engagement'!K3,"")</f>
        <v>Sign 5 MOUs with local orgs</v>
      </c>
      <c r="N33" s="51">
        <f>IF('Wider Community Engagement'!L3&lt;&gt;"",'Wider Community Engagement'!L3,"")</f>
        <v>3</v>
      </c>
      <c r="O33" s="49" t="str">
        <f>IF('Wider Community Engagement'!M3&lt;&gt;"",'Wider Community Engagement'!M3,"")</f>
        <v>1. Target list (schools, council, charities); template MOU                                               2. Set up Bromley Citizens UK                                                       3. Recruit more volunteers for Citizens UK</v>
      </c>
      <c r="P33" s="49" t="str">
        <f>IF('Wider Community Engagement'!N3&lt;&gt;"",'Wider Community Engagement'!N3,"")</f>
        <v>1. Apr
2. Sept
3. Feb</v>
      </c>
      <c r="Q33" s="49" t="str">
        <f>IF('Wider Community Engagement'!O3&lt;&gt;"",'Wider Community Engagement'!O3,"")</f>
        <v>Further Citizen's UK meeting attended by other community members</v>
      </c>
      <c r="R33" s="49" t="str">
        <f>IF('Wider Community Engagement'!P3&lt;&gt;"",'Wider Community Engagement'!P3,"")</f>
        <v>In Progress</v>
      </c>
      <c r="S33" s="49" t="str">
        <f>IF('Wider Community Engagement'!Q3&lt;&gt;"",'Wider Community Engagement'!Q3,"")</f>
        <v/>
      </c>
      <c r="T33" s="52">
        <f>IF('Wider Community Engagement'!R3&lt;&gt;"",'Wider Community Engagement'!R3,"")</f>
        <v>0.4</v>
      </c>
      <c r="U33" s="49" t="str">
        <f>IF('Wider Community Engagement'!S4&lt;&gt;"",'Wider Community Engagement'!S4,"")</f>
        <v>Calendar up and running. Testing during Ramdan. Avais and Meryem to own, keep up to date.  Need to make this calendar more avalaible to non muslim community. Coffee Cart super successful, we need to get someone to own this and also this need sto beome a more regular daily service. 
Q2: Progressing well. Eid event we invited wider community. I am keen to do an Art event, farmers market in August etc</v>
      </c>
    </row>
    <row r="34" spans="1:21">
      <c r="A34" s="7" t="s">
        <v>285</v>
      </c>
      <c r="B34" s="7" t="s">
        <v>220</v>
      </c>
      <c r="C34" s="4" t="s">
        <v>199</v>
      </c>
      <c r="D34" t="s">
        <v>286</v>
      </c>
      <c r="E34" t="s">
        <v>287</v>
      </c>
      <c r="F34" t="s">
        <v>282</v>
      </c>
      <c r="G34" t="s">
        <v>283</v>
      </c>
      <c r="H34" t="s">
        <v>204</v>
      </c>
      <c r="I34" t="s">
        <v>288</v>
      </c>
      <c r="J34" t="s">
        <v>205</v>
      </c>
      <c r="K34" t="s">
        <v>205</v>
      </c>
      <c r="L34" s="17">
        <v>46295</v>
      </c>
      <c r="M34" s="49" t="str">
        <f>IF('Wider Community Engagement'!K4&lt;&gt;"",'Wider Community Engagement'!K4,"")</f>
        <v>Deliver 4 open community events</v>
      </c>
      <c r="N34" s="51">
        <f>IF('Wider Community Engagement'!L4&lt;&gt;"",'Wider Community Engagement'!L4,"")</f>
        <v>5</v>
      </c>
      <c r="O34" s="49" t="str">
        <f>IF('Wider Community Engagement'!M4&lt;&gt;"",'Wider Community Engagement'!M4,"")</f>
        <v>Plan calendar; steward training; inclusive themes. Include neighbourhood consultation (first build relationships, then ask what are your needs?)and Interfaith iftar</v>
      </c>
      <c r="P34" s="49" t="str">
        <f>IF('Wider Community Engagement'!N4&lt;&gt;"",'Wider Community Engagement'!N4,"")</f>
        <v xml:space="preserve">Feb - Calendar
May - Eid 
Jun - World Cup
Sep - 
Dec - Christmas </v>
      </c>
      <c r="Q34" s="49" t="str">
        <f>IF('Wider Community Engagement'!O4&lt;&gt;"",'Wider Community Engagement'!O4,"")</f>
        <v>Online community Calendar is ready for Ramadan!
Build an informal way of engaging with the mosque space to make it more accessiable for non muslims. 
Event invitations to consider non-muslim community.
Partnerships - tbc</v>
      </c>
      <c r="R34" s="49" t="str">
        <f>IF('Wider Community Engagement'!P4&lt;&gt;"",'Wider Community Engagement'!P4,"")</f>
        <v>In Progress</v>
      </c>
      <c r="S34" s="49" t="str">
        <f>IF('Wider Community Engagement'!Q4&lt;&gt;"",'Wider Community Engagement'!Q4,"")</f>
        <v/>
      </c>
      <c r="T34" s="52">
        <f>IF('Wider Community Engagement'!R4&lt;&gt;"",'Wider Community Engagement'!R4,"")</f>
        <v>0.5</v>
      </c>
      <c r="U34" s="49" t="e">
        <f>IF('Wider Community Engagement'!#REF!&lt;&gt;"",'Wider Community Engagement'!#REF!,"")</f>
        <v>#REF!</v>
      </c>
    </row>
    <row r="35" spans="1:21">
      <c r="A35" s="7" t="s">
        <v>289</v>
      </c>
      <c r="B35" s="7" t="s">
        <v>220</v>
      </c>
      <c r="C35" s="4" t="s">
        <v>199</v>
      </c>
      <c r="D35" t="s">
        <v>290</v>
      </c>
      <c r="E35" t="s">
        <v>291</v>
      </c>
      <c r="F35" t="s">
        <v>282</v>
      </c>
      <c r="G35" t="s">
        <v>283</v>
      </c>
      <c r="H35" t="s">
        <v>204</v>
      </c>
      <c r="I35" t="s">
        <v>288</v>
      </c>
      <c r="J35" t="s">
        <v>219</v>
      </c>
      <c r="K35" t="s">
        <v>205</v>
      </c>
      <c r="L35" s="17">
        <v>46295</v>
      </c>
      <c r="M35" s="49" t="str">
        <f>IF('Wider Community Engagement'!K5&lt;&gt;"",'Wider Community Engagement'!K5,"")</f>
        <v>Publish annual Community Impact Report</v>
      </c>
      <c r="N35" s="51">
        <f>IF('Wider Community Engagement'!L5&lt;&gt;"",'Wider Community Engagement'!L5,"")</f>
        <v>3</v>
      </c>
      <c r="O35" s="49" t="str">
        <f>IF('Wider Community Engagement'!M5&lt;&gt;"",'Wider Community Engagement'!M5,"")</f>
        <v>Collect metrics; case studies; design &amp; print</v>
      </c>
      <c r="P35" s="49" t="str">
        <f>IF('Wider Community Engagement'!N5&lt;&gt;"",'Wider Community Engagement'!N5,"")</f>
        <v>On-going</v>
      </c>
      <c r="Q35" s="49" t="str">
        <f>IF('Wider Community Engagement'!O5&lt;&gt;"",'Wider Community Engagement'!O5,"")</f>
        <v>Ensuring data capturing of events is requested before events.  Looking to get more youth to take videos/photos during evets</v>
      </c>
      <c r="R35" s="49" t="str">
        <f>IF('Wider Community Engagement'!P5&lt;&gt;"",'Wider Community Engagement'!P5,"")</f>
        <v>Complete</v>
      </c>
      <c r="S35" s="49" t="str">
        <f>IF('Wider Community Engagement'!Q5&lt;&gt;"",'Wider Community Engagement'!Q5,"")</f>
        <v/>
      </c>
      <c r="T35" s="52">
        <f>IF('Wider Community Engagement'!R5&lt;&gt;"",'Wider Community Engagement'!R5,"")</f>
        <v>1</v>
      </c>
      <c r="U35" s="49" t="str">
        <f>IF('Wider Community Engagement'!S5&lt;&gt;"",'Wider Community Engagement'!S5,"")</f>
        <v>We are getting data for events every time which is good, succewss is shared throguh leads utd, and we are keeping each other updated. Good progress on this and its linked well to marketing</v>
      </c>
    </row>
    <row r="36" spans="1:21">
      <c r="A36" s="7" t="s">
        <v>292</v>
      </c>
      <c r="B36" s="7" t="s">
        <v>220</v>
      </c>
      <c r="C36" s="4" t="s">
        <v>199</v>
      </c>
      <c r="D36" t="s">
        <v>293</v>
      </c>
      <c r="E36" t="s">
        <v>294</v>
      </c>
      <c r="F36" t="s">
        <v>295</v>
      </c>
      <c r="G36" t="s">
        <v>296</v>
      </c>
      <c r="H36" t="s">
        <v>204</v>
      </c>
      <c r="I36" t="s">
        <v>297</v>
      </c>
      <c r="J36" t="s">
        <v>219</v>
      </c>
      <c r="K36" t="s">
        <v>205</v>
      </c>
      <c r="L36" s="17">
        <v>46053</v>
      </c>
      <c r="M36" s="49" t="str">
        <f>IF('Wider Community Engagement'!K6&lt;&gt;"",'Wider Community Engagement'!K6,"")</f>
        <v>Live, active Da'wah project</v>
      </c>
      <c r="N36" s="51">
        <f>IF('Wider Community Engagement'!L6&lt;&gt;"",'Wider Community Engagement'!L6,"")</f>
        <v>3</v>
      </c>
      <c r="O36" s="49" t="str">
        <f>IF('Wider Community Engagement'!M6&lt;&gt;"",'Wider Community Engagement'!M6,"")</f>
        <v>1. Complete purchases of equipment                                     2. Stall permission granted                           3. Volunteer training complete</v>
      </c>
      <c r="P36" s="49" t="str">
        <f>IF('Wider Community Engagement'!N6&lt;&gt;"",'Wider Community Engagement'!N6,"")</f>
        <v>1. Jan end
2. Jan end
3. Jan end</v>
      </c>
      <c r="Q36" s="49" t="str">
        <f>IF('Wider Community Engagement'!O6&lt;&gt;"",'Wider Community Engagement'!O6,"")</f>
        <v/>
      </c>
      <c r="R36" s="49" t="str">
        <f>IF('Wider Community Engagement'!P6&lt;&gt;"",'Wider Community Engagement'!P6,"")</f>
        <v>In Progress</v>
      </c>
      <c r="S36" s="49" t="str">
        <f>IF('Wider Community Engagement'!Q6&lt;&gt;"",'Wider Community Engagement'!Q6,"")</f>
        <v/>
      </c>
      <c r="T36" s="52">
        <f>IF('Wider Community Engagement'!R6&lt;&gt;"",'Wider Community Engagement'!R6,"")</f>
        <v>0.9</v>
      </c>
      <c r="U36" s="49" t="str">
        <f>IF('Wider Community Engagement'!S6&lt;&gt;"",'Wider Community Engagement'!S6,"")</f>
        <v/>
      </c>
    </row>
    <row r="37" spans="1:21">
      <c r="A37" s="7" t="s">
        <v>298</v>
      </c>
      <c r="B37" s="7" t="s">
        <v>220</v>
      </c>
      <c r="C37" s="4" t="s">
        <v>199</v>
      </c>
      <c r="D37" t="s">
        <v>299</v>
      </c>
      <c r="E37" t="s">
        <v>300</v>
      </c>
      <c r="F37" t="s">
        <v>301</v>
      </c>
      <c r="G37" t="s">
        <v>302</v>
      </c>
      <c r="H37" t="s">
        <v>204</v>
      </c>
      <c r="I37" t="s">
        <v>303</v>
      </c>
      <c r="J37" t="s">
        <v>219</v>
      </c>
      <c r="K37" t="s">
        <v>205</v>
      </c>
      <c r="L37" s="17">
        <v>46173</v>
      </c>
      <c r="M37" s="49" t="str">
        <f>IF('Wider Community Engagement'!K7&lt;&gt;"",'Wider Community Engagement'!K7,"")</f>
        <v>Service to become proactive, reaching out to schools /scout groups</v>
      </c>
      <c r="N37" s="51">
        <f>IF('Wider Community Engagement'!L7&lt;&gt;"",'Wider Community Engagement'!L7,"")</f>
        <v>6</v>
      </c>
      <c r="O37" s="49" t="str">
        <f>IF('Wider Community Engagement'!M7&lt;&gt;"",'Wider Community Engagement'!M7,"")</f>
        <v>1. Attract and retain further volunteers
2. Begin actively reaching out to schools/scout groups
3. Engage Bromley College
4. Invite them to our wider events
5. Get them to partake in our Ramadhan Challenge and iftars</v>
      </c>
      <c r="P37" s="49" t="str">
        <f>IF('Wider Community Engagement'!N7&lt;&gt;"",'Wider Community Engagement'!N7,"")</f>
        <v>1. Jan Mid
2. May End
3. Feb End
4. Feb Begin
5. Feb end</v>
      </c>
      <c r="Q37" s="49" t="str">
        <f>IF('Wider Community Engagement'!O7&lt;&gt;"",'Wider Community Engagement'!O7,"")</f>
        <v>Successfully attracted and retained additional volunteers to support the mosque visits programme.</v>
      </c>
      <c r="R37" s="49" t="str">
        <f>IF('Wider Community Engagement'!P7&lt;&gt;"",'Wider Community Engagement'!P7,"")</f>
        <v>In Progress</v>
      </c>
      <c r="S37" s="49" t="str">
        <f>IF('Wider Community Engagement'!Q7&lt;&gt;"",'Wider Community Engagement'!Q7,"")</f>
        <v/>
      </c>
      <c r="T37" s="52">
        <f>IF('Wider Community Engagement'!R7&lt;&gt;"",'Wider Community Engagement'!R7,"")</f>
        <v>0.5</v>
      </c>
      <c r="U37" s="49" t="str">
        <f>IF('Wider Community Engagement'!S7&lt;&gt;"",'Wider Community Engagement'!S7,"")</f>
        <v/>
      </c>
    </row>
    <row r="38" spans="1:21">
      <c r="A38" s="7" t="s">
        <v>304</v>
      </c>
      <c r="B38" s="7" t="s">
        <v>220</v>
      </c>
      <c r="C38" s="4" t="s">
        <v>199</v>
      </c>
      <c r="D38" t="s">
        <v>305</v>
      </c>
      <c r="E38" t="s">
        <v>306</v>
      </c>
      <c r="F38" t="s">
        <v>307</v>
      </c>
      <c r="G38" t="s">
        <v>302</v>
      </c>
      <c r="H38" t="s">
        <v>204</v>
      </c>
      <c r="I38" t="s">
        <v>308</v>
      </c>
      <c r="J38" t="s">
        <v>205</v>
      </c>
      <c r="K38" t="s">
        <v>206</v>
      </c>
      <c r="L38" s="17">
        <v>46280</v>
      </c>
      <c r="M38" s="49" t="str">
        <f>IF('Wider Community Engagement'!K8&lt;&gt;"",'Wider Community Engagement'!K8,"")</f>
        <v>Participate in regular Interfaith meetings and continue to educate about Islam, lessons learned from our shared  prophets and highlight the advantages of being a people of peace who pray,  fast and are ready to help others</v>
      </c>
      <c r="N38" s="51">
        <f>IF('Wider Community Engagement'!L8&lt;&gt;"",'Wider Community Engagement'!L8,"")</f>
        <v>3</v>
      </c>
      <c r="O38" s="49" t="str">
        <f>IF('Wider Community Engagement'!M8&lt;&gt;"",'Wider Community Engagement'!M8,"")</f>
        <v>1. Get more of our community involved
2. Strengthen relationships with focus on Justice
3. Benefit from learning about how other faiths function,e.g. financial set up of Christians,  power dynamics from Jews.                  4.Plan Islamophobia and anti-semitism workshops</v>
      </c>
      <c r="P38" s="49" t="str">
        <f>IF('Wider Community Engagement'!N8&lt;&gt;"",'Wider Community Engagement'!N8,"")</f>
        <v xml:space="preserve">1. Feb end
2. Apr end
3. Sep end </v>
      </c>
      <c r="Q38" s="49" t="str">
        <f>IF('Wider Community Engagement'!O8&lt;&gt;"",'Wider Community Engagement'!O8,"")</f>
        <v>1. Work in progress re drawing more of our community . Issues are due to advertising events late, this is partly due to the sensitive nature of the topics and have been hesitant to advertise.      2</v>
      </c>
      <c r="R38" s="49" t="str">
        <f>IF('Wider Community Engagement'!P8&lt;&gt;"",'Wider Community Engagement'!P8,"")</f>
        <v>In Progress</v>
      </c>
      <c r="S38" s="49" t="str">
        <f>IF('Wider Community Engagement'!Q8&lt;&gt;"",'Wider Community Engagement'!Q8,"")</f>
        <v/>
      </c>
      <c r="T38" s="52">
        <f>IF('Wider Community Engagement'!R8&lt;&gt;"",'Wider Community Engagement'!R8,"")</f>
        <v>0.5</v>
      </c>
      <c r="U38" s="49" t="str">
        <f>IF('Wider Community Engagement'!S8&lt;&gt;"",'Wider Community Engagement'!S8,"")</f>
        <v/>
      </c>
    </row>
    <row r="39" spans="1:21">
      <c r="A39" s="7" t="s">
        <v>309</v>
      </c>
      <c r="B39" s="7" t="s">
        <v>220</v>
      </c>
      <c r="C39" s="4" t="s">
        <v>199</v>
      </c>
      <c r="D39" t="s">
        <v>310</v>
      </c>
      <c r="E39" t="s">
        <v>311</v>
      </c>
      <c r="F39" t="s">
        <v>312</v>
      </c>
      <c r="G39" t="s">
        <v>283</v>
      </c>
      <c r="H39" t="s">
        <v>204</v>
      </c>
      <c r="I39" t="s">
        <v>284</v>
      </c>
      <c r="J39" t="s">
        <v>205</v>
      </c>
      <c r="K39" t="s">
        <v>205</v>
      </c>
      <c r="L39" s="17">
        <v>46234</v>
      </c>
      <c r="M39" s="49" t="str">
        <f>IF('Wider Community Engagement'!K9&lt;&gt;"",'Wider Community Engagement'!K9,"")</f>
        <v>Build useful, searchable, regularly updated database of community contacts</v>
      </c>
      <c r="N39" s="51">
        <f>IF('Wider Community Engagement'!L9&lt;&gt;"",'Wider Community Engagement'!L9,"")</f>
        <v>1</v>
      </c>
      <c r="O39" s="49" t="str">
        <f>IF('Wider Community Engagement'!M9&lt;&gt;"",'Wider Community Engagement'!M9,"")</f>
        <v/>
      </c>
      <c r="P39" s="49" t="str">
        <f>IF('Wider Community Engagement'!N9&lt;&gt;"",'Wider Community Engagement'!N9,"")</f>
        <v/>
      </c>
      <c r="Q39" s="49" t="str">
        <f>IF('Wider Community Engagement'!O9&lt;&gt;"",'Wider Community Engagement'!O9,"")</f>
        <v/>
      </c>
      <c r="R39" s="49" t="str">
        <f>IF('Wider Community Engagement'!P9&lt;&gt;"",'Wider Community Engagement'!P9,"")</f>
        <v>In Progress</v>
      </c>
      <c r="S39" s="49" t="str">
        <f>IF('Wider Community Engagement'!Q9&lt;&gt;"",'Wider Community Engagement'!Q9,"")</f>
        <v/>
      </c>
      <c r="T39" s="52">
        <f>IF('Wider Community Engagement'!R9&lt;&gt;"",'Wider Community Engagement'!R9,"")</f>
        <v>0.1</v>
      </c>
      <c r="U39" s="49" t="str">
        <f>IF('Wider Community Engagement'!S9&lt;&gt;"",'Wider Community Engagement'!S9,"")</f>
        <v>To be reviewed after Eid. Interfaith iftar invitations was not well executed with many key stakeholders missed</v>
      </c>
    </row>
    <row r="40" spans="1:21" hidden="1">
      <c r="A40" s="7" t="s">
        <v>313</v>
      </c>
      <c r="B40" s="7"/>
      <c r="M40" s="49" t="str">
        <f>IF('Wider Community Engagement'!K10&lt;&gt;"",'Wider Community Engagement'!K10,"")</f>
        <v/>
      </c>
      <c r="N40" s="51" t="str">
        <f>IF('Wider Community Engagement'!L10&lt;&gt;"",'Wider Community Engagement'!L10,"")</f>
        <v/>
      </c>
      <c r="O40" s="49" t="str">
        <f>IF('Wider Community Engagement'!M10&lt;&gt;"",'Wider Community Engagement'!M10,"")</f>
        <v/>
      </c>
      <c r="P40" s="49" t="str">
        <f>IF('Wider Community Engagement'!N10&lt;&gt;"",'Wider Community Engagement'!N10,"")</f>
        <v/>
      </c>
      <c r="Q40" s="49" t="str">
        <f>IF('Wider Community Engagement'!O10&lt;&gt;"",'Wider Community Engagement'!O10,"")</f>
        <v>Work in progress:</v>
      </c>
      <c r="R40" s="49" t="str">
        <f>IF('Wider Community Engagement'!P10&lt;&gt;"",'Wider Community Engagement'!P10,"")</f>
        <v/>
      </c>
      <c r="S40" s="49" t="str">
        <f>IF('Wider Community Engagement'!Q10&lt;&gt;"",'Wider Community Engagement'!Q10,"")</f>
        <v/>
      </c>
      <c r="T40" s="52" t="str">
        <f>IF('Wider Community Engagement'!R10&lt;&gt;"",'Wider Community Engagement'!R10,"")</f>
        <v/>
      </c>
      <c r="U40" s="49" t="str">
        <f>IF('Wider Community Engagement'!S10&lt;&gt;"",'Wider Community Engagement'!S10,"")</f>
        <v/>
      </c>
    </row>
    <row r="41" spans="1:21" hidden="1">
      <c r="A41" s="7" t="s">
        <v>314</v>
      </c>
      <c r="B41" s="7"/>
      <c r="M41" s="49" t="str">
        <f>IF('Wider Community Engagement'!K11&lt;&gt;"",'Wider Community Engagement'!K11,"")</f>
        <v/>
      </c>
      <c r="N41" s="51" t="str">
        <f>IF('Wider Community Engagement'!L11&lt;&gt;"",'Wider Community Engagement'!L11,"")</f>
        <v/>
      </c>
      <c r="O41" s="49" t="str">
        <f>IF('Wider Community Engagement'!M11&lt;&gt;"",'Wider Community Engagement'!M11,"")</f>
        <v/>
      </c>
      <c r="P41" s="49" t="str">
        <f>IF('Wider Community Engagement'!N11&lt;&gt;"",'Wider Community Engagement'!N11,"")</f>
        <v/>
      </c>
      <c r="Q41" s="49" t="str">
        <f>IF('Wider Community Engagement'!O11&lt;&gt;"",'Wider Community Engagement'!O11,"")</f>
        <v/>
      </c>
      <c r="R41" s="49" t="str">
        <f>IF('Wider Community Engagement'!P11&lt;&gt;"",'Wider Community Engagement'!P11,"")</f>
        <v/>
      </c>
      <c r="S41" s="49" t="str">
        <f>IF('Wider Community Engagement'!Q11&lt;&gt;"",'Wider Community Engagement'!Q11,"")</f>
        <v/>
      </c>
      <c r="T41" s="52" t="str">
        <f>IF('Wider Community Engagement'!R11&lt;&gt;"",'Wider Community Engagement'!R11,"")</f>
        <v/>
      </c>
      <c r="U41" s="49" t="str">
        <f>IF('Wider Community Engagement'!S11&lt;&gt;"",'Wider Community Engagement'!S11,"")</f>
        <v/>
      </c>
    </row>
    <row r="42" spans="1:21" hidden="1">
      <c r="A42" s="7" t="s">
        <v>315</v>
      </c>
      <c r="B42" s="7"/>
      <c r="M42" s="49" t="str">
        <f>IF('Wider Community Engagement'!K12&lt;&gt;"",'Wider Community Engagement'!K12,"")</f>
        <v/>
      </c>
      <c r="N42" s="51" t="str">
        <f>IF('Wider Community Engagement'!L12&lt;&gt;"",'Wider Community Engagement'!L12,"")</f>
        <v/>
      </c>
      <c r="O42" s="49" t="str">
        <f>IF('Wider Community Engagement'!M12&lt;&gt;"",'Wider Community Engagement'!M12,"")</f>
        <v/>
      </c>
      <c r="P42" s="49" t="str">
        <f>IF('Wider Community Engagement'!N12&lt;&gt;"",'Wider Community Engagement'!N12,"")</f>
        <v/>
      </c>
      <c r="Q42" s="49" t="str">
        <f>IF('Wider Community Engagement'!O12&lt;&gt;"",'Wider Community Engagement'!O12,"")</f>
        <v/>
      </c>
      <c r="R42" s="49" t="str">
        <f>IF('Wider Community Engagement'!P12&lt;&gt;"",'Wider Community Engagement'!P12,"")</f>
        <v/>
      </c>
      <c r="S42" s="49" t="str">
        <f>IF('Wider Community Engagement'!Q12&lt;&gt;"",'Wider Community Engagement'!Q12,"")</f>
        <v/>
      </c>
      <c r="T42" s="52" t="str">
        <f>IF('Wider Community Engagement'!R12&lt;&gt;"",'Wider Community Engagement'!R12,"")</f>
        <v/>
      </c>
      <c r="U42" s="49" t="str">
        <f>IF('Wider Community Engagement'!S12&lt;&gt;"",'Wider Community Engagement'!S12,"")</f>
        <v/>
      </c>
    </row>
    <row r="43" spans="1:21" hidden="1">
      <c r="A43" s="7" t="s">
        <v>316</v>
      </c>
      <c r="B43" s="7"/>
      <c r="M43" s="49" t="str">
        <f>IF('Wider Community Engagement'!K13&lt;&gt;"",'Wider Community Engagement'!K13,"")</f>
        <v/>
      </c>
      <c r="N43" s="51" t="str">
        <f>IF('Wider Community Engagement'!L13&lt;&gt;"",'Wider Community Engagement'!L13,"")</f>
        <v/>
      </c>
      <c r="O43" s="49" t="str">
        <f>IF('Wider Community Engagement'!M13&lt;&gt;"",'Wider Community Engagement'!M13,"")</f>
        <v/>
      </c>
      <c r="P43" s="49" t="str">
        <f>IF('Wider Community Engagement'!N13&lt;&gt;"",'Wider Community Engagement'!N13,"")</f>
        <v/>
      </c>
      <c r="Q43" s="49" t="str">
        <f>IF('Wider Community Engagement'!O13&lt;&gt;"",'Wider Community Engagement'!O13,"")</f>
        <v/>
      </c>
      <c r="R43" s="49" t="str">
        <f>IF('Wider Community Engagement'!P13&lt;&gt;"",'Wider Community Engagement'!P13,"")</f>
        <v/>
      </c>
      <c r="S43" s="49" t="str">
        <f>IF('Wider Community Engagement'!Q13&lt;&gt;"",'Wider Community Engagement'!Q13,"")</f>
        <v/>
      </c>
      <c r="T43" s="52" t="str">
        <f>IF('Wider Community Engagement'!R13&lt;&gt;"",'Wider Community Engagement'!R13,"")</f>
        <v/>
      </c>
      <c r="U43" s="49" t="str">
        <f>IF('Wider Community Engagement'!S13&lt;&gt;"",'Wider Community Engagement'!S13,"")</f>
        <v/>
      </c>
    </row>
    <row r="44" spans="1:21" hidden="1">
      <c r="A44" s="7" t="s">
        <v>317</v>
      </c>
      <c r="B44" s="7"/>
      <c r="M44" s="49" t="str">
        <f>IF('Wider Community Engagement'!K14&lt;&gt;"",'Wider Community Engagement'!K14,"")</f>
        <v/>
      </c>
      <c r="N44" s="51" t="str">
        <f>IF('Wider Community Engagement'!L14&lt;&gt;"",'Wider Community Engagement'!L14,"")</f>
        <v/>
      </c>
      <c r="O44" s="49" t="str">
        <f>IF('Wider Community Engagement'!M14&lt;&gt;"",'Wider Community Engagement'!M14,"")</f>
        <v/>
      </c>
      <c r="P44" s="49" t="str">
        <f>IF('Wider Community Engagement'!N14&lt;&gt;"",'Wider Community Engagement'!N14,"")</f>
        <v/>
      </c>
      <c r="Q44" s="49" t="str">
        <f>IF('Wider Community Engagement'!O14&lt;&gt;"",'Wider Community Engagement'!O14,"")</f>
        <v/>
      </c>
      <c r="R44" s="49" t="str">
        <f>IF('Wider Community Engagement'!P14&lt;&gt;"",'Wider Community Engagement'!P14,"")</f>
        <v/>
      </c>
      <c r="S44" s="49" t="str">
        <f>IF('Wider Community Engagement'!Q14&lt;&gt;"",'Wider Community Engagement'!Q14,"")</f>
        <v/>
      </c>
      <c r="T44" s="52" t="str">
        <f>IF('Wider Community Engagement'!R14&lt;&gt;"",'Wider Community Engagement'!R14,"")</f>
        <v/>
      </c>
      <c r="U44" s="49" t="str">
        <f>IF('Wider Community Engagement'!S14&lt;&gt;"",'Wider Community Engagement'!S14,"")</f>
        <v/>
      </c>
    </row>
    <row r="45" spans="1:21" hidden="1">
      <c r="A45" s="7" t="s">
        <v>318</v>
      </c>
      <c r="B45" s="7"/>
      <c r="M45" s="49" t="str">
        <f>IF('Wider Community Engagement'!K15&lt;&gt;"",'Wider Community Engagement'!K15,"")</f>
        <v/>
      </c>
      <c r="N45" s="51" t="str">
        <f>IF('Wider Community Engagement'!L15&lt;&gt;"",'Wider Community Engagement'!L15,"")</f>
        <v/>
      </c>
      <c r="O45" s="49" t="str">
        <f>IF('Wider Community Engagement'!M15&lt;&gt;"",'Wider Community Engagement'!M15,"")</f>
        <v/>
      </c>
      <c r="P45" s="49" t="str">
        <f>IF('Wider Community Engagement'!N15&lt;&gt;"",'Wider Community Engagement'!N15,"")</f>
        <v/>
      </c>
      <c r="Q45" s="49" t="str">
        <f>IF('Wider Community Engagement'!O15&lt;&gt;"",'Wider Community Engagement'!O15,"")</f>
        <v/>
      </c>
      <c r="R45" s="49" t="str">
        <f>IF('Wider Community Engagement'!P15&lt;&gt;"",'Wider Community Engagement'!P15,"")</f>
        <v/>
      </c>
      <c r="S45" s="49" t="str">
        <f>IF('Wider Community Engagement'!Q15&lt;&gt;"",'Wider Community Engagement'!Q15,"")</f>
        <v/>
      </c>
      <c r="T45" s="52" t="str">
        <f>IF('Wider Community Engagement'!R15&lt;&gt;"",'Wider Community Engagement'!R15,"")</f>
        <v/>
      </c>
      <c r="U45" s="49" t="str">
        <f>IF('Wider Community Engagement'!S15&lt;&gt;"",'Wider Community Engagement'!S15,"")</f>
        <v/>
      </c>
    </row>
    <row r="46" spans="1:21" hidden="1">
      <c r="A46" s="7" t="s">
        <v>319</v>
      </c>
      <c r="B46" s="7"/>
      <c r="M46" s="49" t="str">
        <f>IF('Wider Community Engagement'!K16&lt;&gt;"",'Wider Community Engagement'!K16,"")</f>
        <v/>
      </c>
      <c r="N46" s="51" t="str">
        <f>IF('Wider Community Engagement'!L16&lt;&gt;"",'Wider Community Engagement'!L16,"")</f>
        <v/>
      </c>
      <c r="O46" s="49" t="str">
        <f>IF('Wider Community Engagement'!M16&lt;&gt;"",'Wider Community Engagement'!M16,"")</f>
        <v/>
      </c>
      <c r="P46" s="49" t="str">
        <f>IF('Wider Community Engagement'!N16&lt;&gt;"",'Wider Community Engagement'!N16,"")</f>
        <v/>
      </c>
      <c r="Q46" s="49" t="str">
        <f>IF('Wider Community Engagement'!O16&lt;&gt;"",'Wider Community Engagement'!O16,"")</f>
        <v/>
      </c>
      <c r="R46" s="49" t="str">
        <f>IF('Wider Community Engagement'!P16&lt;&gt;"",'Wider Community Engagement'!P16,"")</f>
        <v/>
      </c>
      <c r="S46" s="49" t="str">
        <f>IF('Wider Community Engagement'!Q16&lt;&gt;"",'Wider Community Engagement'!Q16,"")</f>
        <v/>
      </c>
      <c r="T46" s="52" t="str">
        <f>IF('Wider Community Engagement'!R16&lt;&gt;"",'Wider Community Engagement'!R16,"")</f>
        <v/>
      </c>
      <c r="U46" s="49" t="str">
        <f>IF('Wider Community Engagement'!S16&lt;&gt;"",'Wider Community Engagement'!S16,"")</f>
        <v/>
      </c>
    </row>
    <row r="47" spans="1:21" hidden="1">
      <c r="A47" s="7" t="s">
        <v>320</v>
      </c>
      <c r="B47" s="7"/>
      <c r="M47" s="49" t="str">
        <f>IF('Wider Community Engagement'!K17&lt;&gt;"",'Wider Community Engagement'!K17,"")</f>
        <v/>
      </c>
      <c r="N47" s="51" t="str">
        <f>IF('Wider Community Engagement'!L17&lt;&gt;"",'Wider Community Engagement'!L17,"")</f>
        <v/>
      </c>
      <c r="O47" s="49" t="str">
        <f>IF('Wider Community Engagement'!M17&lt;&gt;"",'Wider Community Engagement'!M17,"")</f>
        <v/>
      </c>
      <c r="P47" s="49" t="str">
        <f>IF('Wider Community Engagement'!N17&lt;&gt;"",'Wider Community Engagement'!N17,"")</f>
        <v/>
      </c>
      <c r="Q47" s="49" t="str">
        <f>IF('Wider Community Engagement'!O17&lt;&gt;"",'Wider Community Engagement'!O17,"")</f>
        <v/>
      </c>
      <c r="R47" s="49" t="str">
        <f>IF('Wider Community Engagement'!P17&lt;&gt;"",'Wider Community Engagement'!P17,"")</f>
        <v/>
      </c>
      <c r="S47" s="49" t="str">
        <f>IF('Wider Community Engagement'!Q17&lt;&gt;"",'Wider Community Engagement'!Q17,"")</f>
        <v/>
      </c>
      <c r="T47" s="52" t="str">
        <f>IF('Wider Community Engagement'!R17&lt;&gt;"",'Wider Community Engagement'!R17,"")</f>
        <v/>
      </c>
      <c r="U47" s="49" t="str">
        <f>IF('Wider Community Engagement'!S17&lt;&gt;"",'Wider Community Engagement'!S17,"")</f>
        <v/>
      </c>
    </row>
    <row r="48" spans="1:21">
      <c r="A48" s="54" t="s">
        <v>321</v>
      </c>
      <c r="B48" s="54" t="s">
        <v>226</v>
      </c>
      <c r="C48" s="4" t="s">
        <v>199</v>
      </c>
      <c r="D48" t="s">
        <v>322</v>
      </c>
      <c r="E48" t="s">
        <v>323</v>
      </c>
      <c r="F48" t="s">
        <v>324</v>
      </c>
      <c r="G48" t="s">
        <v>264</v>
      </c>
      <c r="H48" t="s">
        <v>204</v>
      </c>
      <c r="I48" t="s">
        <v>265</v>
      </c>
      <c r="J48" t="s">
        <v>205</v>
      </c>
      <c r="K48" t="s">
        <v>206</v>
      </c>
      <c r="L48" s="17">
        <v>46203</v>
      </c>
      <c r="M48" s="49" t="str">
        <f>IF('Building Teams &amp; Leadership'!K3&lt;&gt;"",'Building Teams &amp; Leadership'!K3,"")</f>
        <v>Train all leads in leadership, governance &amp; safeguarding</v>
      </c>
      <c r="N48" s="56">
        <f>IF('Building Teams &amp; Leadership'!L3&lt;&gt;"",'Building Teams &amp; Leadership'!L3,"")</f>
        <v>1</v>
      </c>
      <c r="O48" s="49" t="str">
        <f>IF('Building Teams &amp; Leadership'!M3&lt;&gt;"",'Building Teams &amp; Leadership'!M3,"")</f>
        <v>Book courses; track completion</v>
      </c>
      <c r="P48" s="49" t="str">
        <f>IF('Building Teams &amp; Leadership'!N3&lt;&gt;"",'Building Teams &amp; Leadership'!N3,"")</f>
        <v>Yusra training starting 18/01/26</v>
      </c>
      <c r="Q48" s="49" t="str">
        <f>IF('Building Teams &amp; Leadership'!O3&lt;&gt;"",'Building Teams &amp; Leadership'!O3,"")</f>
        <v>Leasdership development programme 8 half day sessions over 6-12 months</v>
      </c>
      <c r="R48" s="49" t="str">
        <f>IF('Building Teams &amp; Leadership'!P3&lt;&gt;"",'Building Teams &amp; Leadership'!P3,"")</f>
        <v>In Progress</v>
      </c>
      <c r="S48" s="49" t="str">
        <f>IF('Building Teams &amp; Leadership'!Q3&lt;&gt;"",'Building Teams &amp; Leadership'!Q3,"")</f>
        <v/>
      </c>
      <c r="T48" s="52">
        <f>IF('Building Teams &amp; Leadership'!R3&lt;&gt;"",'Building Teams &amp; Leadership'!R3,"")</f>
        <v>0.6</v>
      </c>
      <c r="U48" s="49" t="str">
        <f>IF('Building Teams &amp; Leadership'!S3&lt;&gt;"",'Building Teams &amp; Leadership'!S3,"")</f>
        <v>To reconvene after Ramadan.  Traing resumed Fri 1st May. However poor attendance (6 delegetes) Agreed with trainer Shahid to consider hybrid delivery of next session to encourage more attendees. Online Zoom training delivered Sat 20th June successfully with 2 attendees including most Leads and some team members. Good feedback and training well received. Will speak to Shahid at Yusra training to see how this can be delivered for the remaining sessions.  Recent online scheduled session July 18th postponed as trainer's wife unwell. To re-organise.</v>
      </c>
    </row>
    <row r="49" spans="1:21">
      <c r="A49" s="54" t="s">
        <v>325</v>
      </c>
      <c r="B49" s="54" t="s">
        <v>226</v>
      </c>
      <c r="C49" s="4" t="s">
        <v>199</v>
      </c>
      <c r="D49" t="s">
        <v>326</v>
      </c>
      <c r="E49" t="s">
        <v>327</v>
      </c>
      <c r="F49" t="s">
        <v>328</v>
      </c>
      <c r="G49" t="s">
        <v>264</v>
      </c>
      <c r="H49" t="s">
        <v>204</v>
      </c>
      <c r="I49" t="s">
        <v>265</v>
      </c>
      <c r="J49" t="s">
        <v>219</v>
      </c>
      <c r="K49" t="s">
        <v>205</v>
      </c>
      <c r="L49" s="17">
        <v>46142</v>
      </c>
      <c r="M49" s="49" t="str">
        <f>IF('Building Teams &amp; Leadership'!K4&lt;&gt;"",'Building Teams &amp; Leadership'!K4,"")</f>
        <v>Structured induction pack and build a process to align volunteers to roles</v>
      </c>
      <c r="N49" s="56">
        <f>IF('Building Teams &amp; Leadership'!L4&lt;&gt;"",'Building Teams &amp; Leadership'!L4,"")</f>
        <v>5</v>
      </c>
      <c r="O49" s="49" t="str">
        <f>IF('Building Teams &amp; Leadership'!M4&lt;&gt;"",'Building Teams &amp; Leadership'!M4,"")</f>
        <v>Checklist; DBS; H&amp;S; first aid; handbook</v>
      </c>
      <c r="P49" s="49" t="str">
        <f>IF('Building Teams &amp; Leadership'!N4&lt;&gt;"",'Building Teams &amp; Leadership'!N4,"")</f>
        <v>Will need to liase with Ali to organise DBS, 1st Aid and staff handbook</v>
      </c>
      <c r="Q49" s="49" t="str">
        <f>IF('Building Teams &amp; Leadership'!O4&lt;&gt;"",'Building Teams &amp; Leadership'!O4,"")</f>
        <v xml:space="preserve">No communication from Ali regarding staff handbook </v>
      </c>
      <c r="R49" s="49" t="str">
        <f>IF('Building Teams &amp; Leadership'!P4&lt;&gt;"",'Building Teams &amp; Leadership'!P4,"")</f>
        <v>In Progress</v>
      </c>
      <c r="S49" s="49" t="str">
        <f>IF('Building Teams &amp; Leadership'!Q4&lt;&gt;"",'Building Teams &amp; Leadership'!Q4,"")</f>
        <v>Ali has already DBS several leads.</v>
      </c>
      <c r="T49" s="52">
        <f>IF('Building Teams &amp; Leadership'!R4&lt;&gt;"",'Building Teams &amp; Leadership'!R4,"")</f>
        <v>0.3</v>
      </c>
      <c r="U49" s="49" t="str">
        <f>IF('Building Teams &amp; Leadership'!S4&lt;&gt;"",'Building Teams &amp; Leadership'!S4,"")</f>
        <v>Faridah has notified me of her stepping down from AEC duties including OPEX and Leads Utd from 30th March. Conversation with Shaffiq regarding Perkbox. Have messaged Br Behzat with proposal and is being considered.   After further discussion, Perkbox has been parked as not enough interest generated for this platform. Flick still to be considered for recording of volunteer training and documentation. Spoken to Ali rearding taking over the helm of Leads Utd. Ali has now led a couple of meetings asking for monthly updates from the leads. Amer will coninue leading OPEX onboarding volunteers and organising training.</v>
      </c>
    </row>
    <row r="50" spans="1:21">
      <c r="A50" s="54" t="s">
        <v>329</v>
      </c>
      <c r="B50" s="54" t="s">
        <v>226</v>
      </c>
      <c r="C50" s="4" t="s">
        <v>199</v>
      </c>
      <c r="D50" t="s">
        <v>330</v>
      </c>
      <c r="E50" t="s">
        <v>331</v>
      </c>
      <c r="F50" t="s">
        <v>332</v>
      </c>
      <c r="G50" t="s">
        <v>264</v>
      </c>
      <c r="H50" t="s">
        <v>204</v>
      </c>
      <c r="I50" t="s">
        <v>265</v>
      </c>
      <c r="J50" t="s">
        <v>205</v>
      </c>
      <c r="K50" t="s">
        <v>206</v>
      </c>
      <c r="L50" s="17">
        <v>46053</v>
      </c>
      <c r="M50" s="49" t="str">
        <f>IF('Building Teams &amp; Leadership'!K5&lt;&gt;"",'Building Teams &amp; Leadership'!K5,"")</f>
        <v>Volunteer recognition &amp; retention programme. considering Perkbox and other reward schemes.</v>
      </c>
      <c r="N50" s="56">
        <f>IF('Building Teams &amp; Leadership'!L5&lt;&gt;"",'Building Teams &amp; Leadership'!L5,"")</f>
        <v>3</v>
      </c>
      <c r="O50" s="49" t="str">
        <f>IF('Building Teams &amp; Leadership'!M5&lt;&gt;"",'Building Teams &amp; Leadership'!M5,"")</f>
        <v>Badges/PerkBox  Dinner/awards; Yusra training</v>
      </c>
      <c r="P50" s="49" t="str">
        <f>IF('Building Teams &amp; Leadership'!N5&lt;&gt;"",'Building Teams &amp; Leadership'!N5,"")</f>
        <v>1.Training starting 18.01.26     2. volunteer dinner to be arranged  post ramadan  01.04.26  3. Badges/lanyards 30.03.26</v>
      </c>
      <c r="Q50" s="49" t="str">
        <f>IF('Building Teams &amp; Leadership'!O5&lt;&gt;"",'Building Teams &amp; Leadership'!O5,"")</f>
        <v>Amer to arrange sponsors and speakers for post Ramadan volunteer dinner as per last year. Following a thank you dinner at AEC arranged by Shaffiq and Shazli, I have separated the Leads award ceremony into the 'MOscars' to be held in the first week in  April or first week of June. Families of leads to also be invited to acknowledge their support in the process.</v>
      </c>
      <c r="R50" s="49" t="str">
        <f>IF('Building Teams &amp; Leadership'!P5&lt;&gt;"",'Building Teams &amp; Leadership'!P5,"")</f>
        <v>In Progress</v>
      </c>
      <c r="S50" s="49" t="str">
        <f>IF('Building Teams &amp; Leadership'!Q5&lt;&gt;"",'Building Teams &amp; Leadership'!Q5,"")</f>
        <v xml:space="preserve">We did see some new voliunteers sign up at Ramadan but these were drated in the 'Ramadan group' headed by Br Tauffique and Br Shazli who are notably not part of Leads Utd and contunues to be a bone of contention. </v>
      </c>
      <c r="T50" s="52">
        <f>IF('Building Teams &amp; Leadership'!R5&lt;&gt;"",'Building Teams &amp; Leadership'!R5,"")</f>
        <v>0.8</v>
      </c>
      <c r="U50" s="49" t="str">
        <f>IF('Building Teams &amp; Leadership'!S5&lt;&gt;"",'Building Teams &amp; Leadership'!S5,"")</f>
        <v>sponsors to include Abrahams, Cuppa Chai, Langthorne Pharmacy, Garden Square Denta, Kayi Crossfit. MOSCARS Lead Volunteer awards ceremony delivered successfully. Some excellent feedback from this especially with encoragement for youth memebers. Consideration for these youth members to form a youth council or shadow directors committee.  Afsor has stepped back from youth activitie for now due to personal reasons. Will need to organise youth board meeting.</v>
      </c>
    </row>
    <row r="51" spans="1:21">
      <c r="A51" s="54" t="s">
        <v>333</v>
      </c>
      <c r="B51" s="54" t="s">
        <v>226</v>
      </c>
      <c r="C51" s="4" t="s">
        <v>199</v>
      </c>
      <c r="D51" t="s">
        <v>334</v>
      </c>
      <c r="E51" t="s">
        <v>335</v>
      </c>
      <c r="F51" t="s">
        <v>336</v>
      </c>
      <c r="G51" t="s">
        <v>264</v>
      </c>
      <c r="H51" t="s">
        <v>204</v>
      </c>
      <c r="I51" t="s">
        <v>265</v>
      </c>
      <c r="J51" t="s">
        <v>206</v>
      </c>
      <c r="K51" t="s">
        <v>206</v>
      </c>
      <c r="L51" s="17">
        <v>46203</v>
      </c>
      <c r="M51" s="49" t="str">
        <f>IF('Building Teams &amp; Leadership'!K6&lt;&gt;"",'Building Teams &amp; Leadership'!K6,"")</f>
        <v>Increase volunteers in Digital, Marketing and Outreach Teams</v>
      </c>
      <c r="N51" s="56">
        <f>IF('Building Teams &amp; Leadership'!L6&lt;&gt;"",'Building Teams &amp; Leadership'!L6,"")</f>
        <v>3</v>
      </c>
      <c r="O51" s="49" t="str">
        <f>IF('Building Teams &amp; Leadership'!M6&lt;&gt;"",'Building Teams &amp; Leadership'!M6,"")</f>
        <v>Role profiles; mentoring; appraisal process</v>
      </c>
      <c r="P51" s="49" t="str">
        <f>IF('Building Teams &amp; Leadership'!N6&lt;&gt;"",'Building Teams &amp; Leadership'!N6,"")</f>
        <v>Volunteer drive during Ramadan</v>
      </c>
      <c r="Q51" s="49" t="str">
        <f>IF('Building Teams &amp; Leadership'!O6&lt;&gt;"",'Building Teams &amp; Leadership'!O6,"")</f>
        <v>Request Imam to advertise volunteer rercuitment during Ramadan</v>
      </c>
      <c r="R51" s="49" t="str">
        <f>IF('Building Teams &amp; Leadership'!P6&lt;&gt;"",'Building Teams &amp; Leadership'!P6,"")</f>
        <v>In Progress</v>
      </c>
      <c r="S51" s="49" t="str">
        <f>IF('Building Teams &amp; Leadership'!Q6&lt;&gt;"",'Building Teams &amp; Leadership'!Q6,"")</f>
        <v>Imam has his own ideasabout volunteer training. He has run some Zoom online training session pre-Ramadan.</v>
      </c>
      <c r="T51" s="52">
        <f>IF('Building Teams &amp; Leadership'!R6&lt;&gt;"",'Building Teams &amp; Leadership'!R6,"")</f>
        <v>0.5</v>
      </c>
      <c r="U51" s="49" t="str">
        <f>IF('Building Teams &amp; Leadership'!S6&lt;&gt;"",'Building Teams &amp; Leadership'!S6,"")</f>
        <v>Imam Ossama had mentioned volunteers for Ramadan at Jummah Khutbah . After the departure of Imam Ossama we have not as yet led a volunteer drive but individiual gropups are reaching out to theoir own networks to recruit eg dawah project Ahmed Rawi. Still need top recruit further for SEND Tech team, and Scouts following imminent departure of Saira who is currently Lead.</v>
      </c>
    </row>
    <row r="52" spans="1:21" hidden="1">
      <c r="A52" s="54" t="s">
        <v>337</v>
      </c>
      <c r="B52" s="54"/>
      <c r="M52" s="49" t="str">
        <f>IF('Building Teams &amp; Leadership'!K7&lt;&gt;"",'Building Teams &amp; Leadership'!K7,"")</f>
        <v/>
      </c>
      <c r="N52" s="49" t="str">
        <f>IF('Building Teams &amp; Leadership'!L7&lt;&gt;"",'Building Teams &amp; Leadership'!L7,"")</f>
        <v/>
      </c>
      <c r="O52" s="49" t="str">
        <f>IF('Building Teams &amp; Leadership'!M7&lt;&gt;"",'Building Teams &amp; Leadership'!M7,"")</f>
        <v/>
      </c>
      <c r="P52" s="49" t="str">
        <f>IF('Building Teams &amp; Leadership'!N7&lt;&gt;"",'Building Teams &amp; Leadership'!N7,"")</f>
        <v/>
      </c>
      <c r="Q52" s="49" t="str">
        <f>IF('Building Teams &amp; Leadership'!O7&lt;&gt;"",'Building Teams &amp; Leadership'!O7,"")</f>
        <v/>
      </c>
      <c r="R52" s="49" t="str">
        <f>IF('Building Teams &amp; Leadership'!P7&lt;&gt;"",'Building Teams &amp; Leadership'!P7,"")</f>
        <v/>
      </c>
      <c r="S52" s="49" t="str">
        <f>IF('Building Teams &amp; Leadership'!Q7&lt;&gt;"",'Building Teams &amp; Leadership'!Q7,"")</f>
        <v/>
      </c>
      <c r="T52" s="52" t="str">
        <f>IF('Building Teams &amp; Leadership'!R7&lt;&gt;"",'Building Teams &amp; Leadership'!R7,"")</f>
        <v/>
      </c>
      <c r="U52" s="49" t="str">
        <f>IF('Building Teams &amp; Leadership'!S7&lt;&gt;"",'Building Teams &amp; Leadership'!S7,"")</f>
        <v/>
      </c>
    </row>
    <row r="53" spans="1:21" hidden="1">
      <c r="A53" s="54" t="s">
        <v>338</v>
      </c>
      <c r="B53" s="54"/>
      <c r="M53" s="49" t="str">
        <f>IF('Building Teams &amp; Leadership'!K8&lt;&gt;"",'Building Teams &amp; Leadership'!K8,"")</f>
        <v/>
      </c>
      <c r="N53" s="49" t="str">
        <f>IF('Building Teams &amp; Leadership'!L8&lt;&gt;"",'Building Teams &amp; Leadership'!L8,"")</f>
        <v/>
      </c>
      <c r="O53" s="49" t="str">
        <f>IF('Building Teams &amp; Leadership'!M8&lt;&gt;"",'Building Teams &amp; Leadership'!M8,"")</f>
        <v/>
      </c>
      <c r="P53" s="49" t="str">
        <f>IF('Building Teams &amp; Leadership'!N8&lt;&gt;"",'Building Teams &amp; Leadership'!N8,"")</f>
        <v/>
      </c>
      <c r="Q53" s="49" t="str">
        <f>IF('Building Teams &amp; Leadership'!O8&lt;&gt;"",'Building Teams &amp; Leadership'!O8,"")</f>
        <v/>
      </c>
      <c r="R53" s="49" t="str">
        <f>IF('Building Teams &amp; Leadership'!P8&lt;&gt;"",'Building Teams &amp; Leadership'!P8,"")</f>
        <v/>
      </c>
      <c r="S53" s="49" t="str">
        <f>IF('Building Teams &amp; Leadership'!Q8&lt;&gt;"",'Building Teams &amp; Leadership'!Q8,"")</f>
        <v/>
      </c>
      <c r="T53" s="52" t="str">
        <f>IF('Building Teams &amp; Leadership'!R8&lt;&gt;"",'Building Teams &amp; Leadership'!R8,"")</f>
        <v/>
      </c>
      <c r="U53" s="49" t="str">
        <f>IF('Building Teams &amp; Leadership'!S8&lt;&gt;"",'Building Teams &amp; Leadership'!S8,"")</f>
        <v/>
      </c>
    </row>
    <row r="54" spans="1:21" hidden="1">
      <c r="A54" s="54" t="s">
        <v>339</v>
      </c>
      <c r="B54" s="54"/>
      <c r="M54" s="49" t="str">
        <f>IF('Building Teams &amp; Leadership'!K9&lt;&gt;"",'Building Teams &amp; Leadership'!K9,"")</f>
        <v/>
      </c>
      <c r="N54" s="49" t="str">
        <f>IF('Building Teams &amp; Leadership'!L9&lt;&gt;"",'Building Teams &amp; Leadership'!L9,"")</f>
        <v/>
      </c>
      <c r="O54" s="49" t="str">
        <f>IF('Building Teams &amp; Leadership'!M9&lt;&gt;"",'Building Teams &amp; Leadership'!M9,"")</f>
        <v/>
      </c>
      <c r="P54" s="49" t="str">
        <f>IF('Building Teams &amp; Leadership'!N9&lt;&gt;"",'Building Teams &amp; Leadership'!N9,"")</f>
        <v/>
      </c>
      <c r="Q54" s="49" t="str">
        <f>IF('Building Teams &amp; Leadership'!O9&lt;&gt;"",'Building Teams &amp; Leadership'!O9,"")</f>
        <v/>
      </c>
      <c r="R54" s="49" t="str">
        <f>IF('Building Teams &amp; Leadership'!P9&lt;&gt;"",'Building Teams &amp; Leadership'!P9,"")</f>
        <v/>
      </c>
      <c r="S54" s="49" t="str">
        <f>IF('Building Teams &amp; Leadership'!Q9&lt;&gt;"",'Building Teams &amp; Leadership'!Q9,"")</f>
        <v/>
      </c>
      <c r="T54" s="52" t="str">
        <f>IF('Building Teams &amp; Leadership'!R9&lt;&gt;"",'Building Teams &amp; Leadership'!R9,"")</f>
        <v/>
      </c>
      <c r="U54" s="49" t="str">
        <f>IF('Building Teams &amp; Leadership'!S9&lt;&gt;"",'Building Teams &amp; Leadership'!S9,"")</f>
        <v/>
      </c>
    </row>
    <row r="55" spans="1:21" hidden="1">
      <c r="A55" s="54" t="s">
        <v>340</v>
      </c>
      <c r="B55" s="54"/>
      <c r="M55" s="49" t="str">
        <f>IF('Building Teams &amp; Leadership'!K10&lt;&gt;"",'Building Teams &amp; Leadership'!K10,"")</f>
        <v/>
      </c>
      <c r="N55" s="49" t="str">
        <f>IF('Building Teams &amp; Leadership'!L10&lt;&gt;"",'Building Teams &amp; Leadership'!L10,"")</f>
        <v/>
      </c>
      <c r="O55" s="49" t="str">
        <f>IF('Building Teams &amp; Leadership'!M10&lt;&gt;"",'Building Teams &amp; Leadership'!M10,"")</f>
        <v/>
      </c>
      <c r="P55" s="49" t="str">
        <f>IF('Building Teams &amp; Leadership'!N10&lt;&gt;"",'Building Teams &amp; Leadership'!N10,"")</f>
        <v/>
      </c>
      <c r="Q55" s="49" t="str">
        <f>IF('Building Teams &amp; Leadership'!O10&lt;&gt;"",'Building Teams &amp; Leadership'!O10,"")</f>
        <v/>
      </c>
      <c r="R55" s="49" t="str">
        <f>IF('Building Teams &amp; Leadership'!P10&lt;&gt;"",'Building Teams &amp; Leadership'!P10,"")</f>
        <v/>
      </c>
      <c r="S55" s="49" t="str">
        <f>IF('Building Teams &amp; Leadership'!Q10&lt;&gt;"",'Building Teams &amp; Leadership'!Q10,"")</f>
        <v/>
      </c>
      <c r="T55" s="52" t="str">
        <f>IF('Building Teams &amp; Leadership'!R10&lt;&gt;"",'Building Teams &amp; Leadership'!R10,"")</f>
        <v/>
      </c>
      <c r="U55" s="49" t="str">
        <f>IF('Building Teams &amp; Leadership'!S10&lt;&gt;"",'Building Teams &amp; Leadership'!S10,"")</f>
        <v/>
      </c>
    </row>
    <row r="56" spans="1:21" hidden="1">
      <c r="A56" s="54" t="s">
        <v>341</v>
      </c>
      <c r="B56" s="54"/>
      <c r="M56" s="49" t="str">
        <f>IF('Building Teams &amp; Leadership'!K11&lt;&gt;"",'Building Teams &amp; Leadership'!K11,"")</f>
        <v/>
      </c>
      <c r="N56" s="49" t="str">
        <f>IF('Building Teams &amp; Leadership'!L11&lt;&gt;"",'Building Teams &amp; Leadership'!L11,"")</f>
        <v/>
      </c>
      <c r="O56" s="49" t="str">
        <f>IF('Building Teams &amp; Leadership'!M11&lt;&gt;"",'Building Teams &amp; Leadership'!M11,"")</f>
        <v/>
      </c>
      <c r="P56" s="49" t="str">
        <f>IF('Building Teams &amp; Leadership'!N11&lt;&gt;"",'Building Teams &amp; Leadership'!N11,"")</f>
        <v/>
      </c>
      <c r="Q56" s="49" t="str">
        <f>IF('Building Teams &amp; Leadership'!O11&lt;&gt;"",'Building Teams &amp; Leadership'!O11,"")</f>
        <v/>
      </c>
      <c r="R56" s="49" t="str">
        <f>IF('Building Teams &amp; Leadership'!P11&lt;&gt;"",'Building Teams &amp; Leadership'!P11,"")</f>
        <v/>
      </c>
      <c r="S56" s="49" t="str">
        <f>IF('Building Teams &amp; Leadership'!Q11&lt;&gt;"",'Building Teams &amp; Leadership'!Q11,"")</f>
        <v/>
      </c>
      <c r="T56" s="52" t="str">
        <f>IF('Building Teams &amp; Leadership'!R11&lt;&gt;"",'Building Teams &amp; Leadership'!R11,"")</f>
        <v/>
      </c>
      <c r="U56" s="49" t="str">
        <f>IF('Building Teams &amp; Leadership'!S11&lt;&gt;"",'Building Teams &amp; Leadership'!S11,"")</f>
        <v/>
      </c>
    </row>
    <row r="57" spans="1:21" hidden="1">
      <c r="A57" s="54" t="s">
        <v>342</v>
      </c>
      <c r="B57" s="54"/>
      <c r="M57" s="49" t="str">
        <f>IF('Building Teams &amp; Leadership'!K12&lt;&gt;"",'Building Teams &amp; Leadership'!K12,"")</f>
        <v/>
      </c>
      <c r="N57" s="49" t="str">
        <f>IF('Building Teams &amp; Leadership'!L12&lt;&gt;"",'Building Teams &amp; Leadership'!L12,"")</f>
        <v/>
      </c>
      <c r="O57" s="49" t="str">
        <f>IF('Building Teams &amp; Leadership'!M12&lt;&gt;"",'Building Teams &amp; Leadership'!M12,"")</f>
        <v/>
      </c>
      <c r="P57" s="49" t="str">
        <f>IF('Building Teams &amp; Leadership'!N12&lt;&gt;"",'Building Teams &amp; Leadership'!N12,"")</f>
        <v/>
      </c>
      <c r="Q57" s="49" t="str">
        <f>IF('Building Teams &amp; Leadership'!O12&lt;&gt;"",'Building Teams &amp; Leadership'!O12,"")</f>
        <v/>
      </c>
      <c r="R57" s="49" t="str">
        <f>IF('Building Teams &amp; Leadership'!P12&lt;&gt;"",'Building Teams &amp; Leadership'!P12,"")</f>
        <v/>
      </c>
      <c r="S57" s="49" t="str">
        <f>IF('Building Teams &amp; Leadership'!Q12&lt;&gt;"",'Building Teams &amp; Leadership'!Q12,"")</f>
        <v/>
      </c>
      <c r="T57" s="52" t="str">
        <f>IF('Building Teams &amp; Leadership'!R12&lt;&gt;"",'Building Teams &amp; Leadership'!R12,"")</f>
        <v/>
      </c>
      <c r="U57" s="49" t="str">
        <f>IF('Building Teams &amp; Leadership'!S12&lt;&gt;"",'Building Teams &amp; Leadership'!S12,"")</f>
        <v/>
      </c>
    </row>
    <row r="58" spans="1:21" hidden="1">
      <c r="A58" s="54" t="s">
        <v>343</v>
      </c>
      <c r="B58" s="54"/>
      <c r="M58" s="49" t="str">
        <f>IF('Building Teams &amp; Leadership'!K13&lt;&gt;"",'Building Teams &amp; Leadership'!K13,"")</f>
        <v/>
      </c>
      <c r="N58" s="49" t="str">
        <f>IF('Building Teams &amp; Leadership'!L13&lt;&gt;"",'Building Teams &amp; Leadership'!L13,"")</f>
        <v/>
      </c>
      <c r="O58" s="49" t="str">
        <f>IF('Building Teams &amp; Leadership'!M13&lt;&gt;"",'Building Teams &amp; Leadership'!M13,"")</f>
        <v/>
      </c>
      <c r="P58" s="49" t="str">
        <f>IF('Building Teams &amp; Leadership'!N13&lt;&gt;"",'Building Teams &amp; Leadership'!N13,"")</f>
        <v/>
      </c>
      <c r="Q58" s="49" t="str">
        <f>IF('Building Teams &amp; Leadership'!O13&lt;&gt;"",'Building Teams &amp; Leadership'!O13,"")</f>
        <v/>
      </c>
      <c r="R58" s="49" t="str">
        <f>IF('Building Teams &amp; Leadership'!P13&lt;&gt;"",'Building Teams &amp; Leadership'!P13,"")</f>
        <v/>
      </c>
      <c r="S58" s="49" t="str">
        <f>IF('Building Teams &amp; Leadership'!Q13&lt;&gt;"",'Building Teams &amp; Leadership'!Q13,"")</f>
        <v/>
      </c>
      <c r="T58" s="52" t="str">
        <f>IF('Building Teams &amp; Leadership'!R13&lt;&gt;"",'Building Teams &amp; Leadership'!R13,"")</f>
        <v/>
      </c>
      <c r="U58" s="49" t="str">
        <f>IF('Building Teams &amp; Leadership'!S13&lt;&gt;"",'Building Teams &amp; Leadership'!S13,"")</f>
        <v/>
      </c>
    </row>
    <row r="59" spans="1:21" hidden="1">
      <c r="A59" s="54" t="s">
        <v>344</v>
      </c>
      <c r="B59" s="54"/>
      <c r="M59" s="49" t="str">
        <f>IF('Building Teams &amp; Leadership'!K14&lt;&gt;"",'Building Teams &amp; Leadership'!K14,"")</f>
        <v/>
      </c>
      <c r="N59" s="49" t="str">
        <f>IF('Building Teams &amp; Leadership'!L14&lt;&gt;"",'Building Teams &amp; Leadership'!L14,"")</f>
        <v/>
      </c>
      <c r="O59" s="49" t="str">
        <f>IF('Building Teams &amp; Leadership'!M14&lt;&gt;"",'Building Teams &amp; Leadership'!M14,"")</f>
        <v/>
      </c>
      <c r="P59" s="49" t="str">
        <f>IF('Building Teams &amp; Leadership'!N14&lt;&gt;"",'Building Teams &amp; Leadership'!N14,"")</f>
        <v/>
      </c>
      <c r="Q59" s="49" t="str">
        <f>IF('Building Teams &amp; Leadership'!O14&lt;&gt;"",'Building Teams &amp; Leadership'!O14,"")</f>
        <v/>
      </c>
      <c r="R59" s="49" t="str">
        <f>IF('Building Teams &amp; Leadership'!P14&lt;&gt;"",'Building Teams &amp; Leadership'!P14,"")</f>
        <v/>
      </c>
      <c r="S59" s="49" t="str">
        <f>IF('Building Teams &amp; Leadership'!Q14&lt;&gt;"",'Building Teams &amp; Leadership'!Q14,"")</f>
        <v/>
      </c>
      <c r="T59" s="52" t="str">
        <f>IF('Building Teams &amp; Leadership'!R14&lt;&gt;"",'Building Teams &amp; Leadership'!R14,"")</f>
        <v/>
      </c>
      <c r="U59" s="49" t="str">
        <f>IF('Building Teams &amp; Leadership'!S14&lt;&gt;"",'Building Teams &amp; Leadership'!S14,"")</f>
        <v/>
      </c>
    </row>
    <row r="60" spans="1:21" hidden="1">
      <c r="A60" s="54" t="s">
        <v>345</v>
      </c>
      <c r="B60" s="54"/>
      <c r="M60" s="49" t="str">
        <f>IF('Building Teams &amp; Leadership'!K15&lt;&gt;"",'Building Teams &amp; Leadership'!K15,"")</f>
        <v/>
      </c>
      <c r="N60" s="49" t="str">
        <f>IF('Building Teams &amp; Leadership'!L15&lt;&gt;"",'Building Teams &amp; Leadership'!L15,"")</f>
        <v/>
      </c>
      <c r="O60" s="49" t="str">
        <f>IF('Building Teams &amp; Leadership'!M15&lt;&gt;"",'Building Teams &amp; Leadership'!M15,"")</f>
        <v/>
      </c>
      <c r="P60" s="49" t="str">
        <f>IF('Building Teams &amp; Leadership'!N15&lt;&gt;"",'Building Teams &amp; Leadership'!N15,"")</f>
        <v/>
      </c>
      <c r="Q60" s="49" t="str">
        <f>IF('Building Teams &amp; Leadership'!O15&lt;&gt;"",'Building Teams &amp; Leadership'!O15,"")</f>
        <v/>
      </c>
      <c r="R60" s="49" t="str">
        <f>IF('Building Teams &amp; Leadership'!P15&lt;&gt;"",'Building Teams &amp; Leadership'!P15,"")</f>
        <v/>
      </c>
      <c r="S60" s="49" t="str">
        <f>IF('Building Teams &amp; Leadership'!Q15&lt;&gt;"",'Building Teams &amp; Leadership'!Q15,"")</f>
        <v/>
      </c>
      <c r="T60" s="52" t="str">
        <f>IF('Building Teams &amp; Leadership'!R15&lt;&gt;"",'Building Teams &amp; Leadership'!R15,"")</f>
        <v/>
      </c>
      <c r="U60" s="49" t="str">
        <f>IF('Building Teams &amp; Leadership'!S15&lt;&gt;"",'Building Teams &amp; Leadership'!S15,"")</f>
        <v/>
      </c>
    </row>
    <row r="61" spans="1:21" hidden="1">
      <c r="A61" s="54" t="s">
        <v>346</v>
      </c>
      <c r="B61" s="54"/>
      <c r="M61" s="49" t="str">
        <f>IF('Building Teams &amp; Leadership'!K16&lt;&gt;"",'Building Teams &amp; Leadership'!K16,"")</f>
        <v/>
      </c>
      <c r="N61" s="49" t="str">
        <f>IF('Building Teams &amp; Leadership'!L16&lt;&gt;"",'Building Teams &amp; Leadership'!L16,"")</f>
        <v/>
      </c>
      <c r="O61" s="49" t="str">
        <f>IF('Building Teams &amp; Leadership'!M16&lt;&gt;"",'Building Teams &amp; Leadership'!M16,"")</f>
        <v/>
      </c>
      <c r="P61" s="49" t="str">
        <f>IF('Building Teams &amp; Leadership'!N16&lt;&gt;"",'Building Teams &amp; Leadership'!N16,"")</f>
        <v/>
      </c>
      <c r="Q61" s="49" t="str">
        <f>IF('Building Teams &amp; Leadership'!O16&lt;&gt;"",'Building Teams &amp; Leadership'!O16,"")</f>
        <v/>
      </c>
      <c r="R61" s="49" t="str">
        <f>IF('Building Teams &amp; Leadership'!P16&lt;&gt;"",'Building Teams &amp; Leadership'!P16,"")</f>
        <v/>
      </c>
      <c r="S61" s="49" t="str">
        <f>IF('Building Teams &amp; Leadership'!Q16&lt;&gt;"",'Building Teams &amp; Leadership'!Q16,"")</f>
        <v/>
      </c>
      <c r="T61" s="52" t="str">
        <f>IF('Building Teams &amp; Leadership'!R16&lt;&gt;"",'Building Teams &amp; Leadership'!R16,"")</f>
        <v/>
      </c>
      <c r="U61" s="49" t="str">
        <f>IF('Building Teams &amp; Leadership'!S16&lt;&gt;"",'Building Teams &amp; Leadership'!S16,"")</f>
        <v/>
      </c>
    </row>
    <row r="62" spans="1:21" hidden="1">
      <c r="A62" s="54" t="s">
        <v>347</v>
      </c>
      <c r="B62" s="54"/>
      <c r="M62" s="49" t="str">
        <f>IF('Building Teams &amp; Leadership'!K17&lt;&gt;"",'Building Teams &amp; Leadership'!K17,"")</f>
        <v/>
      </c>
      <c r="N62" s="49" t="str">
        <f>IF('Building Teams &amp; Leadership'!L17&lt;&gt;"",'Building Teams &amp; Leadership'!L17,"")</f>
        <v/>
      </c>
      <c r="O62" s="49" t="str">
        <f>IF('Building Teams &amp; Leadership'!M17&lt;&gt;"",'Building Teams &amp; Leadership'!M17,"")</f>
        <v/>
      </c>
      <c r="P62" s="49" t="str">
        <f>IF('Building Teams &amp; Leadership'!N17&lt;&gt;"",'Building Teams &amp; Leadership'!N17,"")</f>
        <v/>
      </c>
      <c r="Q62" s="49" t="str">
        <f>IF('Building Teams &amp; Leadership'!O17&lt;&gt;"",'Building Teams &amp; Leadership'!O17,"")</f>
        <v/>
      </c>
      <c r="R62" s="49" t="str">
        <f>IF('Building Teams &amp; Leadership'!P17&lt;&gt;"",'Building Teams &amp; Leadership'!P17,"")</f>
        <v/>
      </c>
      <c r="S62" s="49" t="str">
        <f>IF('Building Teams &amp; Leadership'!Q17&lt;&gt;"",'Building Teams &amp; Leadership'!Q17,"")</f>
        <v/>
      </c>
      <c r="T62" s="52" t="str">
        <f>IF('Building Teams &amp; Leadership'!R17&lt;&gt;"",'Building Teams &amp; Leadership'!R17,"")</f>
        <v/>
      </c>
      <c r="U62" s="49" t="str">
        <f>IF('Building Teams &amp; Leadership'!S17&lt;&gt;"",'Building Teams &amp; Leadership'!S17,"")</f>
        <v/>
      </c>
    </row>
    <row r="63" spans="1:21">
      <c r="A63" s="13" t="s">
        <v>348</v>
      </c>
      <c r="B63" s="13" t="s">
        <v>232</v>
      </c>
      <c r="C63" s="4" t="s">
        <v>199</v>
      </c>
      <c r="D63" t="s">
        <v>349</v>
      </c>
      <c r="E63" t="s">
        <v>350</v>
      </c>
      <c r="F63" t="s">
        <v>351</v>
      </c>
      <c r="G63" t="s">
        <v>352</v>
      </c>
      <c r="H63" t="s">
        <v>204</v>
      </c>
      <c r="I63" t="s">
        <v>288</v>
      </c>
      <c r="J63" t="s">
        <v>205</v>
      </c>
      <c r="K63" t="s">
        <v>205</v>
      </c>
      <c r="L63" s="17">
        <v>46295</v>
      </c>
      <c r="M63" s="49" t="str">
        <f>IF('Community Activities'!K3&lt;&gt;"",'Community Activities'!K3,"")</f>
        <v>Deliver 10 high-impact events. Quarterly themes; partnerships; family focus</v>
      </c>
      <c r="N63" s="56">
        <f>IF('Community Activities'!L3&lt;&gt;"",'Community Activities'!L3,"")</f>
        <v>6</v>
      </c>
      <c r="O63" s="49" t="str">
        <f>IF('Community Activities'!M3&lt;&gt;"",'Community Activities'!M3,"")</f>
        <v>Big ticket events: Community and Neighbour Consultations, Eids,Volunteer thank you, Mosque Fayre, family BBQ, talks. Communicate these through calendar, newsletters and Annual Report</v>
      </c>
      <c r="P63" s="49" t="str">
        <f>IF('Community Activities'!N3&lt;&gt;"",'Community Activities'!N3,"")</f>
        <v/>
      </c>
      <c r="Q63" s="49" t="str">
        <f>IF('Community Activities'!O3&lt;&gt;"",'Community Activities'!O3,"")</f>
        <v/>
      </c>
      <c r="R63" s="49" t="str">
        <f>IF('Community Activities'!P3&lt;&gt;"",'Community Activities'!P3,"")</f>
        <v>In Progress</v>
      </c>
      <c r="S63" s="49" t="str">
        <f>IF('Community Activities'!Q3&lt;&gt;"",'Community Activities'!Q3,"")</f>
        <v/>
      </c>
      <c r="T63" s="52">
        <f>IF('Community Activities'!R3&lt;&gt;"",'Community Activities'!R3,"")</f>
        <v>0.7</v>
      </c>
      <c r="U63" s="49" t="str">
        <f>IF('Community Activities'!S3&lt;&gt;"",'Community Activities'!S3,"")</f>
        <v xml:space="preserve">Events wise, structure, lot of good things. Big community events we need to now plan post ramadan. </v>
      </c>
    </row>
    <row r="64" spans="1:21">
      <c r="A64" s="13" t="s">
        <v>353</v>
      </c>
      <c r="B64" s="13" t="s">
        <v>232</v>
      </c>
      <c r="C64" s="4" t="s">
        <v>199</v>
      </c>
      <c r="D64" t="s">
        <v>354</v>
      </c>
      <c r="E64" t="s">
        <v>355</v>
      </c>
      <c r="F64" t="s">
        <v>351</v>
      </c>
      <c r="G64" t="s">
        <v>356</v>
      </c>
      <c r="H64" t="s">
        <v>204</v>
      </c>
      <c r="I64" t="s">
        <v>357</v>
      </c>
      <c r="J64" t="s">
        <v>205</v>
      </c>
      <c r="K64" t="s">
        <v>205</v>
      </c>
      <c r="L64" s="17">
        <v>46295</v>
      </c>
      <c r="M64" s="49" t="str">
        <f>IF('Community Activities'!K4&lt;&gt;"",'Community Activities'!K4,"")</f>
        <v>Strengthen visibility and engagement of community activities via social media and WhatsApp, contributing to at least a 25% increase in event attendance vs 2025 baseline</v>
      </c>
      <c r="N64" s="56">
        <f>IF('Community Activities'!L4&lt;&gt;"",'Community Activities'!L4,"")</f>
        <v>3</v>
      </c>
      <c r="O64" s="49" t="str">
        <f>IF('Community Activities'!M4&lt;&gt;"",'Community Activities'!M4,"")</f>
        <v>1. Coordinated social media &amp; WhatsApp promotion for all major community events.
2. Published and regularly updated community events calendar (online and/or on-site).
3. Systematic post-event feedback and attendance tracking after major events.</v>
      </c>
      <c r="P64" s="49" t="str">
        <f>IF('Community Activities'!N4&lt;&gt;"",'Community Activities'!N4,"")</f>
        <v xml:space="preserve">Jan 2026: Initial coordinated promotion in place + draft calendar created.  
Feb 2026: Online calendar live and used for Ramadan communications.  
Jun 2026: Regular promotion embedded + feedback piloted.  
Sept 2026: Approach fully embedded with systematic feedback and attendance tracking.
</v>
      </c>
      <c r="Q64" s="49" t="str">
        <f>IF('Community Activities'!O4&lt;&gt;"",'Community Activities'!O4,"")</f>
        <v>Work with the Events Team to coordinate promotion of major community activities via social media and WhatsApp; work with the Digital Team to maintain an up-to-date online events calendar; and support the rollout of simple post-event feedback and attendance tracking.</v>
      </c>
      <c r="R64" s="49" t="str">
        <f>IF('Community Activities'!P4&lt;&gt;"",'Community Activities'!P4,"")</f>
        <v>In Progress</v>
      </c>
      <c r="S64" s="49" t="str">
        <f>IF('Community Activities'!Q4&lt;&gt;"",'Community Activities'!Q4,"")</f>
        <v/>
      </c>
      <c r="T64" s="52">
        <f>IF('Community Activities'!R4&lt;&gt;"",'Community Activities'!R4,"")</f>
        <v>0.7</v>
      </c>
      <c r="U64" s="49" t="str">
        <f>IF('Community Activities'!S4&lt;&gt;"",'Community Activities'!S4,"")</f>
        <v>Ramadan programme successfully delivered with very strong attendance and engagement; mosque consistently full across key events. Coordinated promotion via WhatsApp and social media, supported by live events calendar. Positive feedback and compliments received from the community</v>
      </c>
    </row>
    <row r="65" spans="1:21">
      <c r="A65" s="13" t="s">
        <v>358</v>
      </c>
      <c r="B65" s="13" t="s">
        <v>232</v>
      </c>
      <c r="C65" s="4" t="s">
        <v>199</v>
      </c>
      <c r="D65" t="s">
        <v>359</v>
      </c>
      <c r="E65" t="s">
        <v>360</v>
      </c>
      <c r="F65" t="s">
        <v>361</v>
      </c>
      <c r="G65" t="s">
        <v>362</v>
      </c>
      <c r="H65" t="s">
        <v>204</v>
      </c>
      <c r="I65" t="s">
        <v>269</v>
      </c>
      <c r="J65" t="s">
        <v>206</v>
      </c>
      <c r="K65" t="s">
        <v>206</v>
      </c>
      <c r="L65" s="17">
        <v>46173</v>
      </c>
      <c r="M65" s="49" t="str">
        <f>IF('Community Activities'!K5&lt;&gt;"",'Community Activities'!K5,"")</f>
        <v>Clear electronic calendar of events for staff and community to see/access</v>
      </c>
      <c r="N65" s="56">
        <f>IF('Community Activities'!L5&lt;&gt;"",'Community Activities'!L5,"")</f>
        <v>3</v>
      </c>
      <c r="O65" s="49" t="str">
        <f>IF('Community Activities'!M5&lt;&gt;"",'Community Activities'!M5,"")</f>
        <v>1. Set up calendars
2. Integrate
3. Share</v>
      </c>
      <c r="P65" s="49" t="str">
        <f>IF('Community Activities'!N5&lt;&gt;"",'Community Activities'!N5,"")</f>
        <v>1. Jan
2.Jan
3. Feb</v>
      </c>
      <c r="Q65" s="49" t="str">
        <f>IF('Community Activities'!O5&lt;&gt;"",'Community Activities'!O5,"")</f>
        <v/>
      </c>
      <c r="R65" s="49" t="str">
        <f>IF('Community Activities'!P5&lt;&gt;"",'Community Activities'!P5,"")</f>
        <v>In Progress</v>
      </c>
      <c r="S65" s="49" t="str">
        <f>IF('Community Activities'!Q5&lt;&gt;"",'Community Activities'!Q5,"")</f>
        <v/>
      </c>
      <c r="T65" s="52">
        <f>IF('Community Activities'!R5&lt;&gt;"",'Community Activities'!R5,"")</f>
        <v>0.7</v>
      </c>
      <c r="U65" s="49" t="str">
        <f>IF('Community Activities'!S5&lt;&gt;"",'Community Activities'!S5,"")</f>
        <v/>
      </c>
    </row>
    <row r="66" spans="1:21" hidden="1">
      <c r="A66" s="13" t="s">
        <v>363</v>
      </c>
      <c r="B66" s="13"/>
      <c r="M66" s="49" t="str">
        <f>IF('Community Activities'!K6&lt;&gt;"",'Community Activities'!K6,"")</f>
        <v/>
      </c>
      <c r="N66" s="49" t="str">
        <f>IF('Community Activities'!L6&lt;&gt;"",'Community Activities'!L6,"")</f>
        <v/>
      </c>
      <c r="O66" s="49" t="str">
        <f>IF('Community Activities'!M6&lt;&gt;"",'Community Activities'!M6,"")</f>
        <v/>
      </c>
      <c r="P66" s="49" t="str">
        <f>IF('Community Activities'!N6&lt;&gt;"",'Community Activities'!N6,"")</f>
        <v/>
      </c>
      <c r="Q66" s="49" t="str">
        <f>IF('Community Activities'!O6&lt;&gt;"",'Community Activities'!O6,"")</f>
        <v/>
      </c>
      <c r="R66" s="49" t="str">
        <f>IF('Community Activities'!P6&lt;&gt;"",'Community Activities'!P6,"")</f>
        <v/>
      </c>
      <c r="S66" s="49" t="str">
        <f>IF('Community Activities'!Q6&lt;&gt;"",'Community Activities'!Q6,"")</f>
        <v/>
      </c>
      <c r="T66" s="52" t="str">
        <f>IF('Community Activities'!R6&lt;&gt;"",'Community Activities'!R6,"")</f>
        <v/>
      </c>
      <c r="U66" s="49" t="str">
        <f>IF('Community Activities'!S6&lt;&gt;"",'Community Activities'!S6,"")</f>
        <v/>
      </c>
    </row>
    <row r="67" spans="1:21" hidden="1">
      <c r="A67" s="13" t="s">
        <v>364</v>
      </c>
      <c r="B67" s="13"/>
      <c r="M67" s="49" t="str">
        <f>IF('Community Activities'!K7&lt;&gt;"",'Community Activities'!K7,"")</f>
        <v/>
      </c>
      <c r="N67" s="49" t="str">
        <f>IF('Community Activities'!L7&lt;&gt;"",'Community Activities'!L7,"")</f>
        <v/>
      </c>
      <c r="O67" s="49" t="str">
        <f>IF('Community Activities'!M7&lt;&gt;"",'Community Activities'!M7,"")</f>
        <v/>
      </c>
      <c r="P67" s="49" t="str">
        <f>IF('Community Activities'!N7&lt;&gt;"",'Community Activities'!N7,"")</f>
        <v/>
      </c>
      <c r="Q67" s="49" t="str">
        <f>IF('Community Activities'!O7&lt;&gt;"",'Community Activities'!O7,"")</f>
        <v/>
      </c>
      <c r="R67" s="49" t="str">
        <f>IF('Community Activities'!P7&lt;&gt;"",'Community Activities'!P7,"")</f>
        <v/>
      </c>
      <c r="S67" s="49" t="str">
        <f>IF('Community Activities'!Q7&lt;&gt;"",'Community Activities'!Q7,"")</f>
        <v/>
      </c>
      <c r="T67" s="52" t="str">
        <f>IF('Community Activities'!R7&lt;&gt;"",'Community Activities'!R7,"")</f>
        <v/>
      </c>
      <c r="U67" s="49" t="str">
        <f>IF('Community Activities'!S7&lt;&gt;"",'Community Activities'!S7,"")</f>
        <v/>
      </c>
    </row>
    <row r="68" spans="1:21" hidden="1">
      <c r="A68" s="13" t="s">
        <v>365</v>
      </c>
      <c r="B68" s="13"/>
      <c r="M68" s="49" t="str">
        <f>IF('Community Activities'!K8&lt;&gt;"",'Community Activities'!K8,"")</f>
        <v/>
      </c>
      <c r="N68" s="49" t="str">
        <f>IF('Community Activities'!L8&lt;&gt;"",'Community Activities'!L8,"")</f>
        <v/>
      </c>
      <c r="O68" s="49" t="str">
        <f>IF('Community Activities'!M8&lt;&gt;"",'Community Activities'!M8,"")</f>
        <v/>
      </c>
      <c r="P68" s="49" t="str">
        <f>IF('Community Activities'!N8&lt;&gt;"",'Community Activities'!N8,"")</f>
        <v/>
      </c>
      <c r="Q68" s="49" t="str">
        <f>IF('Community Activities'!O8&lt;&gt;"",'Community Activities'!O8,"")</f>
        <v/>
      </c>
      <c r="R68" s="49" t="str">
        <f>IF('Community Activities'!P8&lt;&gt;"",'Community Activities'!P8,"")</f>
        <v/>
      </c>
      <c r="S68" s="49" t="str">
        <f>IF('Community Activities'!Q8&lt;&gt;"",'Community Activities'!Q8,"")</f>
        <v/>
      </c>
      <c r="T68" s="52" t="str">
        <f>IF('Community Activities'!R8&lt;&gt;"",'Community Activities'!R8,"")</f>
        <v/>
      </c>
      <c r="U68" s="49" t="str">
        <f>IF('Community Activities'!S8&lt;&gt;"",'Community Activities'!S8,"")</f>
        <v/>
      </c>
    </row>
    <row r="69" spans="1:21" hidden="1">
      <c r="A69" s="13" t="s">
        <v>366</v>
      </c>
      <c r="B69" s="13"/>
      <c r="M69" s="49" t="str">
        <f>IF('Community Activities'!K9&lt;&gt;"",'Community Activities'!K9,"")</f>
        <v/>
      </c>
      <c r="N69" s="49" t="str">
        <f>IF('Community Activities'!L9&lt;&gt;"",'Community Activities'!L9,"")</f>
        <v/>
      </c>
      <c r="O69" s="49" t="str">
        <f>IF('Community Activities'!M9&lt;&gt;"",'Community Activities'!M9,"")</f>
        <v/>
      </c>
      <c r="P69" s="49" t="str">
        <f>IF('Community Activities'!N9&lt;&gt;"",'Community Activities'!N9,"")</f>
        <v/>
      </c>
      <c r="Q69" s="49" t="str">
        <f>IF('Community Activities'!O9&lt;&gt;"",'Community Activities'!O9,"")</f>
        <v/>
      </c>
      <c r="R69" s="49" t="str">
        <f>IF('Community Activities'!P9&lt;&gt;"",'Community Activities'!P9,"")</f>
        <v/>
      </c>
      <c r="S69" s="49" t="str">
        <f>IF('Community Activities'!Q9&lt;&gt;"",'Community Activities'!Q9,"")</f>
        <v/>
      </c>
      <c r="T69" s="52" t="str">
        <f>IF('Community Activities'!R9&lt;&gt;"",'Community Activities'!R9,"")</f>
        <v/>
      </c>
      <c r="U69" s="49" t="str">
        <f>IF('Community Activities'!S9&lt;&gt;"",'Community Activities'!S9,"")</f>
        <v/>
      </c>
    </row>
    <row r="70" spans="1:21" hidden="1">
      <c r="A70" s="13" t="s">
        <v>367</v>
      </c>
      <c r="B70" s="13"/>
      <c r="M70" s="49" t="str">
        <f>IF('Community Activities'!K10&lt;&gt;"",'Community Activities'!K10,"")</f>
        <v/>
      </c>
      <c r="N70" s="49" t="str">
        <f>IF('Community Activities'!L10&lt;&gt;"",'Community Activities'!L10,"")</f>
        <v/>
      </c>
      <c r="O70" s="49" t="str">
        <f>IF('Community Activities'!M10&lt;&gt;"",'Community Activities'!M10,"")</f>
        <v/>
      </c>
      <c r="P70" s="49" t="str">
        <f>IF('Community Activities'!N10&lt;&gt;"",'Community Activities'!N10,"")</f>
        <v/>
      </c>
      <c r="Q70" s="49" t="str">
        <f>IF('Community Activities'!O10&lt;&gt;"",'Community Activities'!O10,"")</f>
        <v/>
      </c>
      <c r="R70" s="49" t="str">
        <f>IF('Community Activities'!P10&lt;&gt;"",'Community Activities'!P10,"")</f>
        <v/>
      </c>
      <c r="S70" s="49" t="str">
        <f>IF('Community Activities'!Q10&lt;&gt;"",'Community Activities'!Q10,"")</f>
        <v/>
      </c>
      <c r="T70" s="52" t="str">
        <f>IF('Community Activities'!R10&lt;&gt;"",'Community Activities'!R10,"")</f>
        <v/>
      </c>
      <c r="U70" s="49" t="str">
        <f>IF('Community Activities'!S10&lt;&gt;"",'Community Activities'!S10,"")</f>
        <v/>
      </c>
    </row>
    <row r="71" spans="1:21" hidden="1">
      <c r="A71" s="13" t="s">
        <v>368</v>
      </c>
      <c r="B71" s="13"/>
      <c r="M71" s="49" t="str">
        <f>IF('Community Activities'!K11&lt;&gt;"",'Community Activities'!K11,"")</f>
        <v/>
      </c>
      <c r="N71" s="49" t="str">
        <f>IF('Community Activities'!L11&lt;&gt;"",'Community Activities'!L11,"")</f>
        <v/>
      </c>
      <c r="O71" s="49" t="str">
        <f>IF('Community Activities'!M11&lt;&gt;"",'Community Activities'!M11,"")</f>
        <v/>
      </c>
      <c r="P71" s="49" t="str">
        <f>IF('Community Activities'!N11&lt;&gt;"",'Community Activities'!N11,"")</f>
        <v/>
      </c>
      <c r="Q71" s="49" t="str">
        <f>IF('Community Activities'!O11&lt;&gt;"",'Community Activities'!O11,"")</f>
        <v/>
      </c>
      <c r="R71" s="49" t="str">
        <f>IF('Community Activities'!P11&lt;&gt;"",'Community Activities'!P11,"")</f>
        <v/>
      </c>
      <c r="S71" s="49" t="str">
        <f>IF('Community Activities'!Q11&lt;&gt;"",'Community Activities'!Q11,"")</f>
        <v/>
      </c>
      <c r="T71" s="52" t="str">
        <f>IF('Community Activities'!R11&lt;&gt;"",'Community Activities'!R11,"")</f>
        <v/>
      </c>
      <c r="U71" s="49" t="str">
        <f>IF('Community Activities'!S11&lt;&gt;"",'Community Activities'!S11,"")</f>
        <v/>
      </c>
    </row>
    <row r="72" spans="1:21" hidden="1">
      <c r="A72" s="13" t="s">
        <v>369</v>
      </c>
      <c r="B72" s="13"/>
      <c r="M72" s="49" t="str">
        <f>IF('Community Activities'!K12&lt;&gt;"",'Community Activities'!K12,"")</f>
        <v/>
      </c>
      <c r="N72" s="49" t="str">
        <f>IF('Community Activities'!L12&lt;&gt;"",'Community Activities'!L12,"")</f>
        <v/>
      </c>
      <c r="O72" s="49" t="str">
        <f>IF('Community Activities'!M12&lt;&gt;"",'Community Activities'!M12,"")</f>
        <v/>
      </c>
      <c r="P72" s="49" t="str">
        <f>IF('Community Activities'!N12&lt;&gt;"",'Community Activities'!N12,"")</f>
        <v/>
      </c>
      <c r="Q72" s="49" t="str">
        <f>IF('Community Activities'!O12&lt;&gt;"",'Community Activities'!O12,"")</f>
        <v/>
      </c>
      <c r="R72" s="49" t="str">
        <f>IF('Community Activities'!P12&lt;&gt;"",'Community Activities'!P12,"")</f>
        <v/>
      </c>
      <c r="S72" s="49" t="str">
        <f>IF('Community Activities'!Q12&lt;&gt;"",'Community Activities'!Q12,"")</f>
        <v/>
      </c>
      <c r="T72" s="52" t="str">
        <f>IF('Community Activities'!R12&lt;&gt;"",'Community Activities'!R12,"")</f>
        <v/>
      </c>
      <c r="U72" s="49" t="str">
        <f>IF('Community Activities'!S12&lt;&gt;"",'Community Activities'!S12,"")</f>
        <v/>
      </c>
    </row>
    <row r="73" spans="1:21" hidden="1">
      <c r="A73" s="13" t="s">
        <v>370</v>
      </c>
      <c r="B73" s="13"/>
      <c r="M73" s="49" t="str">
        <f>IF('Community Activities'!K13&lt;&gt;"",'Community Activities'!K13,"")</f>
        <v/>
      </c>
      <c r="N73" s="49" t="str">
        <f>IF('Community Activities'!L13&lt;&gt;"",'Community Activities'!L13,"")</f>
        <v/>
      </c>
      <c r="O73" s="49" t="str">
        <f>IF('Community Activities'!M13&lt;&gt;"",'Community Activities'!M13,"")</f>
        <v/>
      </c>
      <c r="P73" s="49" t="str">
        <f>IF('Community Activities'!N13&lt;&gt;"",'Community Activities'!N13,"")</f>
        <v/>
      </c>
      <c r="Q73" s="49" t="str">
        <f>IF('Community Activities'!O13&lt;&gt;"",'Community Activities'!O13,"")</f>
        <v/>
      </c>
      <c r="R73" s="49" t="str">
        <f>IF('Community Activities'!P13&lt;&gt;"",'Community Activities'!P13,"")</f>
        <v/>
      </c>
      <c r="S73" s="49" t="str">
        <f>IF('Community Activities'!Q13&lt;&gt;"",'Community Activities'!Q13,"")</f>
        <v/>
      </c>
      <c r="T73" s="52" t="str">
        <f>IF('Community Activities'!R13&lt;&gt;"",'Community Activities'!R13,"")</f>
        <v/>
      </c>
      <c r="U73" s="49" t="str">
        <f>IF('Community Activities'!S13&lt;&gt;"",'Community Activities'!S13,"")</f>
        <v/>
      </c>
    </row>
    <row r="74" spans="1:21" hidden="1">
      <c r="A74" s="13" t="s">
        <v>371</v>
      </c>
      <c r="B74" s="13"/>
      <c r="M74" s="49" t="str">
        <f>IF('Community Activities'!K14&lt;&gt;"",'Community Activities'!K14,"")</f>
        <v/>
      </c>
      <c r="N74" s="49" t="str">
        <f>IF('Community Activities'!L14&lt;&gt;"",'Community Activities'!L14,"")</f>
        <v/>
      </c>
      <c r="O74" s="49" t="str">
        <f>IF('Community Activities'!M14&lt;&gt;"",'Community Activities'!M14,"")</f>
        <v/>
      </c>
      <c r="P74" s="49" t="str">
        <f>IF('Community Activities'!N14&lt;&gt;"",'Community Activities'!N14,"")</f>
        <v/>
      </c>
      <c r="Q74" s="49" t="str">
        <f>IF('Community Activities'!O14&lt;&gt;"",'Community Activities'!O14,"")</f>
        <v/>
      </c>
      <c r="R74" s="49" t="str">
        <f>IF('Community Activities'!P14&lt;&gt;"",'Community Activities'!P14,"")</f>
        <v/>
      </c>
      <c r="S74" s="49" t="str">
        <f>IF('Community Activities'!Q14&lt;&gt;"",'Community Activities'!Q14,"")</f>
        <v/>
      </c>
      <c r="T74" s="52" t="str">
        <f>IF('Community Activities'!R14&lt;&gt;"",'Community Activities'!R14,"")</f>
        <v/>
      </c>
      <c r="U74" s="49" t="str">
        <f>IF('Community Activities'!S14&lt;&gt;"",'Community Activities'!S14,"")</f>
        <v/>
      </c>
    </row>
    <row r="75" spans="1:21" hidden="1">
      <c r="A75" s="13" t="s">
        <v>372</v>
      </c>
      <c r="B75" s="13"/>
      <c r="M75" s="49" t="str">
        <f>IF('Community Activities'!K15&lt;&gt;"",'Community Activities'!K15,"")</f>
        <v/>
      </c>
      <c r="N75" s="49" t="str">
        <f>IF('Community Activities'!L15&lt;&gt;"",'Community Activities'!L15,"")</f>
        <v/>
      </c>
      <c r="O75" s="49" t="str">
        <f>IF('Community Activities'!M15&lt;&gt;"",'Community Activities'!M15,"")</f>
        <v/>
      </c>
      <c r="P75" s="49" t="str">
        <f>IF('Community Activities'!N15&lt;&gt;"",'Community Activities'!N15,"")</f>
        <v/>
      </c>
      <c r="Q75" s="49" t="str">
        <f>IF('Community Activities'!O15&lt;&gt;"",'Community Activities'!O15,"")</f>
        <v/>
      </c>
      <c r="R75" s="49" t="str">
        <f>IF('Community Activities'!P15&lt;&gt;"",'Community Activities'!P15,"")</f>
        <v/>
      </c>
      <c r="S75" s="49" t="str">
        <f>IF('Community Activities'!Q15&lt;&gt;"",'Community Activities'!Q15,"")</f>
        <v/>
      </c>
      <c r="T75" s="52" t="str">
        <f>IF('Community Activities'!R15&lt;&gt;"",'Community Activities'!R15,"")</f>
        <v/>
      </c>
      <c r="U75" s="49" t="str">
        <f>IF('Community Activities'!S15&lt;&gt;"",'Community Activities'!S15,"")</f>
        <v/>
      </c>
    </row>
    <row r="76" spans="1:21" hidden="1">
      <c r="A76" s="13" t="s">
        <v>373</v>
      </c>
      <c r="B76" s="13"/>
      <c r="M76" s="49" t="str">
        <f>IF('Community Activities'!K16&lt;&gt;"",'Community Activities'!K16,"")</f>
        <v/>
      </c>
      <c r="N76" s="49" t="str">
        <f>IF('Community Activities'!L16&lt;&gt;"",'Community Activities'!L16,"")</f>
        <v/>
      </c>
      <c r="O76" s="49" t="str">
        <f>IF('Community Activities'!M16&lt;&gt;"",'Community Activities'!M16,"")</f>
        <v/>
      </c>
      <c r="P76" s="49" t="str">
        <f>IF('Community Activities'!N16&lt;&gt;"",'Community Activities'!N16,"")</f>
        <v/>
      </c>
      <c r="Q76" s="49" t="str">
        <f>IF('Community Activities'!O16&lt;&gt;"",'Community Activities'!O16,"")</f>
        <v/>
      </c>
      <c r="R76" s="49" t="str">
        <f>IF('Community Activities'!P16&lt;&gt;"",'Community Activities'!P16,"")</f>
        <v/>
      </c>
      <c r="S76" s="49" t="str">
        <f>IF('Community Activities'!Q16&lt;&gt;"",'Community Activities'!Q16,"")</f>
        <v/>
      </c>
      <c r="T76" s="52" t="str">
        <f>IF('Community Activities'!R16&lt;&gt;"",'Community Activities'!R16,"")</f>
        <v/>
      </c>
      <c r="U76" s="49" t="str">
        <f>IF('Community Activities'!S16&lt;&gt;"",'Community Activities'!S16,"")</f>
        <v/>
      </c>
    </row>
    <row r="77" spans="1:21" hidden="1">
      <c r="A77" s="13" t="s">
        <v>374</v>
      </c>
      <c r="B77" s="13"/>
      <c r="M77" s="49" t="str">
        <f>IF('Community Activities'!K17&lt;&gt;"",'Community Activities'!K17,"")</f>
        <v/>
      </c>
      <c r="N77" s="49" t="str">
        <f>IF('Community Activities'!L17&lt;&gt;"",'Community Activities'!L17,"")</f>
        <v/>
      </c>
      <c r="O77" s="49" t="str">
        <f>IF('Community Activities'!M17&lt;&gt;"",'Community Activities'!M17,"")</f>
        <v/>
      </c>
      <c r="P77" s="49" t="str">
        <f>IF('Community Activities'!N17&lt;&gt;"",'Community Activities'!N17,"")</f>
        <v/>
      </c>
      <c r="Q77" s="49" t="str">
        <f>IF('Community Activities'!O17&lt;&gt;"",'Community Activities'!O17,"")</f>
        <v/>
      </c>
      <c r="R77" s="49" t="str">
        <f>IF('Community Activities'!P17&lt;&gt;"",'Community Activities'!P17,"")</f>
        <v/>
      </c>
      <c r="S77" s="49" t="str">
        <f>IF('Community Activities'!Q17&lt;&gt;"",'Community Activities'!Q17,"")</f>
        <v/>
      </c>
      <c r="T77" s="52" t="str">
        <f>IF('Community Activities'!R17&lt;&gt;"",'Community Activities'!R17,"")</f>
        <v/>
      </c>
      <c r="U77" s="49" t="str">
        <f>IF('Community Activities'!S17&lt;&gt;"",'Community Activities'!S17,"")</f>
        <v/>
      </c>
    </row>
    <row r="78" spans="1:21">
      <c r="A78" s="55" t="s">
        <v>375</v>
      </c>
      <c r="B78" s="55" t="s">
        <v>234</v>
      </c>
      <c r="C78" s="4" t="s">
        <v>199</v>
      </c>
      <c r="D78" t="s">
        <v>376</v>
      </c>
      <c r="E78" t="s">
        <v>377</v>
      </c>
      <c r="F78" t="s">
        <v>378</v>
      </c>
      <c r="G78" t="s">
        <v>379</v>
      </c>
      <c r="H78" t="s">
        <v>204</v>
      </c>
      <c r="I78" t="s">
        <v>380</v>
      </c>
      <c r="J78" t="s">
        <v>205</v>
      </c>
      <c r="K78" t="s">
        <v>205</v>
      </c>
      <c r="L78" s="17">
        <v>46295</v>
      </c>
      <c r="M78" s="49" t="str">
        <f>IF('Spiritual Focus'!K3&lt;&gt;"",'Spiritual Focus'!K3,"")</f>
        <v>Increase participation in structured spiritual education by 30% by September 2026.</v>
      </c>
      <c r="N78" s="56">
        <f>IF('Spiritual Focus'!L3&lt;&gt;"",'Spiritual Focus'!L3,"")</f>
        <v>3</v>
      </c>
      <c r="O78" s="49" t="str">
        <f>IF('Spiritual Focus'!M3&lt;&gt;"",'Spiritual Focus'!M3,"")</f>
        <v>1. Modular spiritual education courses introduced beyond Jumu’ah and Ramadan.
2. Family-friendly timings implemented to widen access to learning programmes.</v>
      </c>
      <c r="P78" s="49" t="str">
        <f>IF('Spiritual Focus'!N3&lt;&gt;"",'Spiritual Focus'!N3,"")</f>
        <v>Jan 2026: Pilot modular spiritual education sessions (including Ramadan programmes).  
Jun 2026: Regular modular courses running with family-friendly timings.  
Sept 2026: Programme fully embedded with sustained and increased attendance.</v>
      </c>
      <c r="Q78" s="49" t="str">
        <f>IF('Spiritual Focus'!O3&lt;&gt;"",'Spiritual Focus'!O3,"")</f>
        <v>Develop and deliver modular spiritual education programmes, building on existing classes and talks; introduce family-friendly timings and expand engagement with youth, children, and reverts.</v>
      </c>
      <c r="R78" s="49" t="str">
        <f>IF('Spiritual Focus'!P3&lt;&gt;"",'Spiritual Focus'!P3,"")</f>
        <v>In Progress</v>
      </c>
      <c r="S78" s="49" t="str">
        <f>IF('Spiritual Focus'!Q3&lt;&gt;"",'Spiritual Focus'!Q3,"")</f>
        <v/>
      </c>
      <c r="T78" s="52">
        <f>IF('Spiritual Focus'!R3&lt;&gt;"",'Spiritual Focus'!R3,"")</f>
        <v>0.9</v>
      </c>
      <c r="U78" s="49" t="str">
        <f>IF('Spiritual Focus'!S3&lt;&gt;"",'Spiritual Focus'!S3,"")</f>
        <v xml:space="preserve">1. Weekly tafsir started June for all members of family                                                                                                   2. Sisters fortnightly halaqah started.                                                                                                  3. Youth 16-25 circle for men started.                                                                                     4. Youth monthly q&amp;a started.                                                            5. Youth Rawa tales planned in June                                                       6. Fajr club felt covers brothers circle                                                 7. Guest khateebs Sh Ziyad and Sh Zubayr                                                               8. Completed Ramadan and Dhul Hijjah social media reminders                                                                                             9. In need of revert, youth sisters and 11-15 brothers                                 10. Possibly an Isha reminder (more appropriate for Imam)                                                                                                </v>
      </c>
    </row>
    <row r="79" spans="1:21">
      <c r="A79" s="55" t="s">
        <v>381</v>
      </c>
      <c r="B79" s="55" t="s">
        <v>234</v>
      </c>
      <c r="C79" s="4" t="s">
        <v>199</v>
      </c>
      <c r="D79" t="s">
        <v>382</v>
      </c>
      <c r="E79" t="s">
        <v>383</v>
      </c>
      <c r="F79" s="127" t="s">
        <v>384</v>
      </c>
      <c r="G79" t="s">
        <v>302</v>
      </c>
      <c r="H79" t="s">
        <v>204</v>
      </c>
      <c r="I79" t="s">
        <v>380</v>
      </c>
      <c r="J79" t="s">
        <v>205</v>
      </c>
      <c r="K79" t="s">
        <v>205</v>
      </c>
      <c r="L79" s="17">
        <v>46142</v>
      </c>
      <c r="M79" s="49" t="e">
        <f>IF('Spiritual Focus'!#REF!&lt;&gt;"",'Spiritual Focus'!#REF!,"")</f>
        <v>#REF!</v>
      </c>
      <c r="N79" s="56" t="e">
        <f>IF('Spiritual Focus'!#REF!&lt;&gt;"",'Spiritual Focus'!#REF!,"")</f>
        <v>#REF!</v>
      </c>
      <c r="O79" s="49" t="e">
        <f>IF('Spiritual Focus'!#REF!&lt;&gt;"",'Spiritual Focus'!#REF!,"")</f>
        <v>#REF!</v>
      </c>
      <c r="P79" s="49" t="e">
        <f>IF('Spiritual Focus'!#REF!&lt;&gt;"",'Spiritual Focus'!#REF!,"")</f>
        <v>#REF!</v>
      </c>
      <c r="Q79" s="49" t="e">
        <f>IF('Spiritual Focus'!#REF!&lt;&gt;"",'Spiritual Focus'!#REF!,"")</f>
        <v>#REF!</v>
      </c>
      <c r="R79" s="49" t="e">
        <f>IF('Spiritual Focus'!#REF!&lt;&gt;"",'Spiritual Focus'!#REF!,"")</f>
        <v>#REF!</v>
      </c>
      <c r="S79" s="49" t="e">
        <f>IF('Spiritual Focus'!#REF!&lt;&gt;"",'Spiritual Focus'!#REF!,"")</f>
        <v>#REF!</v>
      </c>
      <c r="T79" s="52" t="e">
        <f>IF('Spiritual Focus'!#REF!&lt;&gt;"",'Spiritual Focus'!#REF!,"")</f>
        <v>#REF!</v>
      </c>
      <c r="U79" s="49" t="e">
        <f>IF('Spiritual Focus'!#REF!&lt;&gt;"",'Spiritual Focus'!#REF!,"")</f>
        <v>#REF!</v>
      </c>
    </row>
    <row r="80" spans="1:21">
      <c r="A80" s="55" t="s">
        <v>385</v>
      </c>
      <c r="B80" s="55" t="s">
        <v>234</v>
      </c>
      <c r="C80" s="4" t="s">
        <v>199</v>
      </c>
      <c r="D80" t="s">
        <v>386</v>
      </c>
      <c r="E80" t="s">
        <v>387</v>
      </c>
      <c r="F80" s="127" t="s">
        <v>384</v>
      </c>
      <c r="G80" t="s">
        <v>379</v>
      </c>
      <c r="H80" t="s">
        <v>204</v>
      </c>
      <c r="I80" t="s">
        <v>380</v>
      </c>
      <c r="J80" t="s">
        <v>205</v>
      </c>
      <c r="K80" t="s">
        <v>205</v>
      </c>
      <c r="L80" s="17">
        <v>46265</v>
      </c>
      <c r="M80" s="49" t="str">
        <f>IF('Spiritual Focus'!K6&lt;&gt;"",'Spiritual Focus'!K6,"")</f>
        <v>Deliver quarterly spiritual retreats and Qur’an reflection circles to strengthen community connection and spiritual growth by August 2026.</v>
      </c>
      <c r="N80" s="56">
        <f>IF('Spiritual Focus'!L6&lt;&gt;"",'Spiritual Focus'!L6,"")</f>
        <v>3</v>
      </c>
      <c r="O80" s="49" t="str">
        <f>IF('Spiritual Focus'!M6&lt;&gt;"",'Spiritual Focus'!M6,"")</f>
        <v>1. Retreat structure and programme designed (including Qur’an reflection focus).
2. Logistics in place (venue, childcare, sign-ups).
3. First retreat delivered and model refined for ongoing quarterly delivery.</v>
      </c>
      <c r="P80" s="49" t="str">
        <f>IF('Spiritual Focus'!N6&lt;&gt;"",'Spiritual Focus'!N6,"")</f>
        <v>Jan 2026: Retreat format and programme agreed.  
Jun 2026: First retreat delivered with logistics in place.  
Aug 2026: Quarterly retreat model embedded.</v>
      </c>
      <c r="Q80" s="49" t="str">
        <f>IF('Spiritual Focus'!O6&lt;&gt;"",'Spiritual Focus'!O6,"")</f>
        <v>Plan and deliver quarterly retreats including Qur’an reflection sessions, ensuring accessibility through childcare and structured sign-up processes.</v>
      </c>
      <c r="R80" s="49" t="str">
        <f>IF('Spiritual Focus'!P6&lt;&gt;"",'Spiritual Focus'!P6,"")</f>
        <v>In Progress</v>
      </c>
      <c r="S80" s="49" t="str">
        <f>IF('Spiritual Focus'!Q6&lt;&gt;"",'Spiritual Focus'!Q6,"")</f>
        <v/>
      </c>
      <c r="T80" s="52">
        <f>IF('Spiritual Focus'!R6&lt;&gt;"",'Spiritual Focus'!R6,"")</f>
        <v>0.3</v>
      </c>
      <c r="U80" s="49" t="str">
        <f>IF('Spiritual Focus'!S6&lt;&gt;"",'Spiritual Focus'!S6,"")</f>
        <v>To consider embedding into camp retreat, or considering a youth excurcusion with reminders. Not yet ready for full education retreat given my time committments - potentially one for an incoming Imam</v>
      </c>
    </row>
    <row r="81" spans="1:21">
      <c r="A81" s="55" t="s">
        <v>388</v>
      </c>
      <c r="B81" s="55" t="s">
        <v>234</v>
      </c>
      <c r="C81" s="4" t="s">
        <v>199</v>
      </c>
      <c r="D81" t="s">
        <v>389</v>
      </c>
      <c r="E81" t="s">
        <v>390</v>
      </c>
      <c r="F81" t="s">
        <v>391</v>
      </c>
      <c r="G81" t="s">
        <v>302</v>
      </c>
      <c r="H81" t="s">
        <v>204</v>
      </c>
      <c r="I81" t="s">
        <v>380</v>
      </c>
      <c r="J81" t="s">
        <v>205</v>
      </c>
      <c r="K81" t="s">
        <v>205</v>
      </c>
      <c r="L81" s="17">
        <v>46295</v>
      </c>
      <c r="M81" s="49" t="str">
        <f>IF('Spiritual Focus'!K5&lt;&gt;"",'Spiritual Focus'!K5,"")</f>
        <v>Increase student numbers whilst maintaining educational standards</v>
      </c>
      <c r="N81" s="56">
        <f>IF('Spiritual Focus'!L5&lt;&gt;"",'Spiritual Focus'!L5,"")</f>
        <v>1</v>
      </c>
      <c r="O81" s="49" t="str">
        <f>IF('Spiritual Focus'!M5&lt;&gt;"",'Spiritual Focus'!M5,"")</f>
        <v>1. New leadership team settled into roles 2. Move to Ravenswood secured by June 2026</v>
      </c>
      <c r="P81" s="49" t="str">
        <f>IF('Spiritual Focus'!N5&lt;&gt;"",'Spiritual Focus'!N5,"")</f>
        <v>1. End of March 2. End of June</v>
      </c>
      <c r="Q81" s="49" t="str">
        <f>IF('Spiritual Focus'!O5&lt;&gt;"",'Spiritual Focus'!O5,"")</f>
        <v/>
      </c>
      <c r="R81" s="49" t="str">
        <f>IF('Spiritual Focus'!P5&lt;&gt;"",'Spiritual Focus'!P5,"")</f>
        <v>In Progress</v>
      </c>
      <c r="S81" s="49" t="str">
        <f>IF('Spiritual Focus'!Q5&lt;&gt;"",'Spiritual Focus'!Q5,"")</f>
        <v/>
      </c>
      <c r="T81" s="52">
        <f>IF('Spiritual Focus'!R5&lt;&gt;"",'Spiritual Focus'!R5,"")</f>
        <v>0.8</v>
      </c>
      <c r="U81" s="49" t="str">
        <f>IF('Spiritual Focus'!S5&lt;&gt;"",'Spiritual Focus'!S5,"")</f>
        <v>Ravenswood move complete!                                                Curriculum has been proposed, and being finalised. Omar to plan a meeting with teachers on this.                               Leadership team better place than last year, appears to have worked. Awaiting full report by next month.                                     Awaiting open day and review of numbers in coming month.</v>
      </c>
    </row>
    <row r="82" spans="1:21">
      <c r="A82" s="55" t="s">
        <v>392</v>
      </c>
      <c r="B82" s="55" t="s">
        <v>234</v>
      </c>
      <c r="C82" s="4" t="s">
        <v>199</v>
      </c>
      <c r="D82" t="s">
        <v>376</v>
      </c>
      <c r="E82" t="s">
        <v>377</v>
      </c>
      <c r="F82" t="s">
        <v>393</v>
      </c>
      <c r="G82" t="s">
        <v>379</v>
      </c>
      <c r="H82" t="s">
        <v>204</v>
      </c>
      <c r="I82" t="s">
        <v>380</v>
      </c>
      <c r="J82" t="s">
        <v>205</v>
      </c>
      <c r="K82" t="s">
        <v>205</v>
      </c>
      <c r="L82" s="17">
        <v>46295</v>
      </c>
      <c r="M82" s="49" t="str">
        <f>IF('Spiritual Focus'!K4&lt;&gt;"",'Spiritual Focus'!K4,"")</f>
        <v>Deliver a consistent programme of small and large-scale talks for diverse demographics to increase engagement and spiritual understanding by September 2026.</v>
      </c>
      <c r="N82" s="56">
        <f>IF('Spiritual Focus'!L4&lt;&gt;"",'Spiritual Focus'!L4,"")</f>
        <v>4</v>
      </c>
      <c r="O82" s="49" t="str">
        <f>IF('Spiritual Focus'!M4&lt;&gt;"",'Spiritual Focus'!M4,"")</f>
        <v>1. Monthly themed talks delivered for key demographics.
2. Guest speakers introduced for selected sessions.
3. Increased attendance and engagement across talk programmes.</v>
      </c>
      <c r="P82" s="49" t="str">
        <f>IF('Spiritual Focus'!N4&lt;&gt;"",'Spiritual Focus'!N4,"")</f>
        <v>Jan 2026: Monthly talk structure established  
Jun 2026: Guest speakers and varied topics introduced  
Sept 2026: Programme embedded with strong attendance</v>
      </c>
      <c r="Q82" s="49" t="str">
        <f>IF('Spiritual Focus'!O4&lt;&gt;"",'Spiritual Focus'!O4,"")</f>
        <v>Plan and deliver regular talks across different demographics, including khutbahs, short reminders, and guest sessions, to increase engagement and accessibility.</v>
      </c>
      <c r="R82" s="49" t="str">
        <f>IF('Spiritual Focus'!P4&lt;&gt;"",'Spiritual Focus'!P4,"")</f>
        <v>In Progress</v>
      </c>
      <c r="S82" s="49" t="str">
        <f>IF('Spiritual Focus'!Q4&lt;&gt;"",'Spiritual Focus'!Q4,"")</f>
        <v/>
      </c>
      <c r="T82" s="52">
        <f>IF('Spiritual Focus'!R4&lt;&gt;"",'Spiritual Focus'!R4,"")</f>
        <v>0.6</v>
      </c>
      <c r="U82" s="49" t="str">
        <f>IF('Spiritual Focus'!S4&lt;&gt;"",'Spiritual Focus'!S4,"")</f>
        <v>1. Plan for September Ilm Essentials 1 year programme                                                            2. Plan for Tajweed for ladies Sep and for Arabic ladies tajweed                                                                                                      3. Seeking a lead for Arabic and men's tajweed                                              4. Agreed regular marriage related talks                                                                      5. History talk 21st June                                                                         6. Planning riba talk with Ustadh Umer Sulaiman                                    7. Completed Ramadan and Hajj talks                                          8. Planning Mothers Quran group                                                         9. Aim Khutbah delivery workshop by Sep                                            10. Planning a sisters q&amp;a (either Omar or Imam)                                                              11. Planning hifdh programme (Imam)</v>
      </c>
    </row>
    <row r="83" spans="1:21">
      <c r="A83" s="55" t="s">
        <v>394</v>
      </c>
      <c r="B83" s="55" t="s">
        <v>234</v>
      </c>
      <c r="C83" s="4" t="s">
        <v>199</v>
      </c>
      <c r="D83" t="s">
        <v>395</v>
      </c>
      <c r="E83" t="s">
        <v>396</v>
      </c>
      <c r="F83" t="s">
        <v>397</v>
      </c>
      <c r="G83" t="s">
        <v>225</v>
      </c>
      <c r="H83" t="s">
        <v>204</v>
      </c>
      <c r="I83" t="s">
        <v>29</v>
      </c>
      <c r="J83" t="s">
        <v>205</v>
      </c>
      <c r="K83" t="s">
        <v>205</v>
      </c>
      <c r="L83" s="17">
        <v>46295</v>
      </c>
      <c r="M83" s="49" t="str">
        <f>IF('Spiritual Focus'!K7&lt;&gt;"",'Spiritual Focus'!K7,"")</f>
        <v>A system which allows individual community members to begin a tracked, AI driven,journey starting from where they are, built upon the resources available at the masjid. Includes training, courses and volunteering</v>
      </c>
      <c r="N83" s="56">
        <f>IF('Spiritual Focus'!L7&lt;&gt;"",'Spiritual Focus'!L7,"")</f>
        <v>2</v>
      </c>
      <c r="O83" s="49" t="str">
        <f>IF('Spiritual Focus'!M7&lt;&gt;"",'Spiritual Focus'!M7,"")</f>
        <v>1. Get MosqueApp running
2. Develop and deploy framework for personal self-development</v>
      </c>
      <c r="P83" s="49" t="str">
        <f>IF('Spiritual Focus'!N7&lt;&gt;"",'Spiritual Focus'!N7,"")</f>
        <v>1. Jan
2. Before Ramadhan</v>
      </c>
      <c r="Q83" s="49" t="str">
        <f>IF('Spiritual Focus'!O7&lt;&gt;"",'Spiritual Focus'!O7,"")</f>
        <v>Found possible suitable provider. had second round meetings with him. Next steps: asked him for a one pager explaining his product, a one pager for my Education Lead, detailing Islamic education authenticity, and then we will meet to finalise the financials and how that works, and how to embed the product via ai to our masjid, its services, volunteering etc. Decided to launch via our website and not wait until app is completed.</v>
      </c>
      <c r="R83" s="49" t="str">
        <f>IF('Spiritual Focus'!P7&lt;&gt;"",'Spiritual Focus'!P7,"")</f>
        <v>Delayed</v>
      </c>
      <c r="S83" s="49" t="str">
        <f>IF('Spiritual Focus'!Q7&lt;&gt;"",'Spiritual Focus'!Q7,"")</f>
        <v/>
      </c>
      <c r="T83" s="52">
        <f>IF('Spiritual Focus'!R7&lt;&gt;"",'Spiritual Focus'!R7,"")</f>
        <v>0.6</v>
      </c>
      <c r="U83" s="49" t="str">
        <f>IF('Spiritual Focus'!S7&lt;&gt;"",'Spiritual Focus'!S7,"")</f>
        <v>Need Khalyfa guy to produce scholar endorsement and fine checking for educational content before we proceed any further</v>
      </c>
    </row>
    <row r="84" spans="1:21" hidden="1">
      <c r="A84" s="55" t="s">
        <v>398</v>
      </c>
      <c r="B84" s="55"/>
      <c r="M84" s="49" t="str">
        <f>IF('Spiritual Focus'!K8&lt;&gt;"",'Spiritual Focus'!K8,"")</f>
        <v/>
      </c>
      <c r="N84" s="49" t="str">
        <f>IF('Spiritual Focus'!L8&lt;&gt;"",'Spiritual Focus'!L8,"")</f>
        <v/>
      </c>
      <c r="O84" s="49" t="str">
        <f>IF('Spiritual Focus'!M8&lt;&gt;"",'Spiritual Focus'!M8,"")</f>
        <v/>
      </c>
      <c r="P84" s="49" t="str">
        <f>IF('Spiritual Focus'!N8&lt;&gt;"",'Spiritual Focus'!N8,"")</f>
        <v/>
      </c>
      <c r="Q84" s="49" t="str">
        <f>IF('Spiritual Focus'!O8&lt;&gt;"",'Spiritual Focus'!O8,"")</f>
        <v/>
      </c>
      <c r="R84" s="49" t="str">
        <f>IF('Spiritual Focus'!P8&lt;&gt;"",'Spiritual Focus'!P8,"")</f>
        <v/>
      </c>
      <c r="S84" s="49" t="str">
        <f>IF('Spiritual Focus'!Q8&lt;&gt;"",'Spiritual Focus'!Q8,"")</f>
        <v/>
      </c>
      <c r="T84" s="52" t="str">
        <f>IF('Spiritual Focus'!R8&lt;&gt;"",'Spiritual Focus'!R8,"")</f>
        <v/>
      </c>
      <c r="U84" s="49" t="str">
        <f>IF('Spiritual Focus'!S8&lt;&gt;"",'Spiritual Focus'!S8,"")</f>
        <v/>
      </c>
    </row>
    <row r="85" spans="1:21" hidden="1">
      <c r="A85" s="55" t="s">
        <v>399</v>
      </c>
      <c r="B85" s="55"/>
      <c r="M85" s="49" t="str">
        <f>IF('Spiritual Focus'!K9&lt;&gt;"",'Spiritual Focus'!K9,"")</f>
        <v/>
      </c>
      <c r="N85" s="49" t="str">
        <f>IF('Spiritual Focus'!L9&lt;&gt;"",'Spiritual Focus'!L9,"")</f>
        <v/>
      </c>
      <c r="O85" s="49" t="str">
        <f>IF('Spiritual Focus'!M9&lt;&gt;"",'Spiritual Focus'!M9,"")</f>
        <v/>
      </c>
      <c r="P85" s="49" t="str">
        <f>IF('Spiritual Focus'!N9&lt;&gt;"",'Spiritual Focus'!N9,"")</f>
        <v/>
      </c>
      <c r="Q85" s="49" t="str">
        <f>IF('Spiritual Focus'!O9&lt;&gt;"",'Spiritual Focus'!O9,"")</f>
        <v/>
      </c>
      <c r="R85" s="49" t="str">
        <f>IF('Spiritual Focus'!P9&lt;&gt;"",'Spiritual Focus'!P9,"")</f>
        <v/>
      </c>
      <c r="S85" s="49" t="str">
        <f>IF('Spiritual Focus'!Q9&lt;&gt;"",'Spiritual Focus'!Q9,"")</f>
        <v/>
      </c>
      <c r="T85" s="52" t="str">
        <f>IF('Spiritual Focus'!R9&lt;&gt;"",'Spiritual Focus'!R9,"")</f>
        <v/>
      </c>
      <c r="U85" s="49" t="str">
        <f>IF('Spiritual Focus'!S9&lt;&gt;"",'Spiritual Focus'!S9,"")</f>
        <v/>
      </c>
    </row>
    <row r="86" spans="1:21" hidden="1">
      <c r="A86" s="55" t="s">
        <v>400</v>
      </c>
      <c r="B86" s="55"/>
      <c r="M86" s="49" t="str">
        <f>IF('Spiritual Focus'!K10&lt;&gt;"",'Spiritual Focus'!K10,"")</f>
        <v/>
      </c>
      <c r="N86" s="49" t="str">
        <f>IF('Spiritual Focus'!L10&lt;&gt;"",'Spiritual Focus'!L10,"")</f>
        <v/>
      </c>
      <c r="O86" s="49" t="str">
        <f>IF('Spiritual Focus'!M10&lt;&gt;"",'Spiritual Focus'!M10,"")</f>
        <v/>
      </c>
      <c r="P86" s="49" t="str">
        <f>IF('Spiritual Focus'!N10&lt;&gt;"",'Spiritual Focus'!N10,"")</f>
        <v/>
      </c>
      <c r="Q86" s="49" t="str">
        <f>IF('Spiritual Focus'!O10&lt;&gt;"",'Spiritual Focus'!O10,"")</f>
        <v/>
      </c>
      <c r="R86" s="49" t="str">
        <f>IF('Spiritual Focus'!P10&lt;&gt;"",'Spiritual Focus'!P10,"")</f>
        <v/>
      </c>
      <c r="S86" s="49" t="str">
        <f>IF('Spiritual Focus'!Q10&lt;&gt;"",'Spiritual Focus'!Q10,"")</f>
        <v/>
      </c>
      <c r="T86" s="52" t="str">
        <f>IF('Spiritual Focus'!R10&lt;&gt;"",'Spiritual Focus'!R10,"")</f>
        <v/>
      </c>
      <c r="U86" s="49" t="str">
        <f>IF('Spiritual Focus'!S10&lt;&gt;"",'Spiritual Focus'!S10,"")</f>
        <v/>
      </c>
    </row>
    <row r="87" spans="1:21" hidden="1">
      <c r="A87" s="55" t="s">
        <v>401</v>
      </c>
      <c r="B87" s="55"/>
      <c r="M87" s="49" t="str">
        <f>IF('Spiritual Focus'!K11&lt;&gt;"",'Spiritual Focus'!K11,"")</f>
        <v/>
      </c>
      <c r="N87" s="49" t="str">
        <f>IF('Spiritual Focus'!L11&lt;&gt;"",'Spiritual Focus'!L11,"")</f>
        <v/>
      </c>
      <c r="O87" s="49" t="str">
        <f>IF('Spiritual Focus'!M11&lt;&gt;"",'Spiritual Focus'!M11,"")</f>
        <v/>
      </c>
      <c r="P87" s="49" t="str">
        <f>IF('Spiritual Focus'!N11&lt;&gt;"",'Spiritual Focus'!N11,"")</f>
        <v/>
      </c>
      <c r="Q87" s="49" t="str">
        <f>IF('Spiritual Focus'!O11&lt;&gt;"",'Spiritual Focus'!O11,"")</f>
        <v/>
      </c>
      <c r="R87" s="49" t="str">
        <f>IF('Spiritual Focus'!P11&lt;&gt;"",'Spiritual Focus'!P11,"")</f>
        <v/>
      </c>
      <c r="S87" s="49" t="str">
        <f>IF('Spiritual Focus'!Q11&lt;&gt;"",'Spiritual Focus'!Q11,"")</f>
        <v/>
      </c>
      <c r="T87" s="52" t="str">
        <f>IF('Spiritual Focus'!R11&lt;&gt;"",'Spiritual Focus'!R11,"")</f>
        <v/>
      </c>
      <c r="U87" s="49" t="str">
        <f>IF('Spiritual Focus'!S11&lt;&gt;"",'Spiritual Focus'!S11,"")</f>
        <v/>
      </c>
    </row>
    <row r="88" spans="1:21" hidden="1">
      <c r="A88" s="55" t="s">
        <v>402</v>
      </c>
      <c r="B88" s="55"/>
      <c r="M88" s="49" t="str">
        <f>IF('Spiritual Focus'!K12&lt;&gt;"",'Spiritual Focus'!K12,"")</f>
        <v/>
      </c>
      <c r="N88" s="49" t="str">
        <f>IF('Spiritual Focus'!L12&lt;&gt;"",'Spiritual Focus'!L12,"")</f>
        <v/>
      </c>
      <c r="O88" s="49" t="str">
        <f>IF('Spiritual Focus'!M12&lt;&gt;"",'Spiritual Focus'!M12,"")</f>
        <v/>
      </c>
      <c r="P88" s="49" t="str">
        <f>IF('Spiritual Focus'!N12&lt;&gt;"",'Spiritual Focus'!N12,"")</f>
        <v/>
      </c>
      <c r="Q88" s="49" t="str">
        <f>IF('Spiritual Focus'!O12&lt;&gt;"",'Spiritual Focus'!O12,"")</f>
        <v/>
      </c>
      <c r="R88" s="49" t="str">
        <f>IF('Spiritual Focus'!P12&lt;&gt;"",'Spiritual Focus'!P12,"")</f>
        <v/>
      </c>
      <c r="S88" s="49" t="str">
        <f>IF('Spiritual Focus'!Q12&lt;&gt;"",'Spiritual Focus'!Q12,"")</f>
        <v/>
      </c>
      <c r="T88" s="52" t="str">
        <f>IF('Spiritual Focus'!R12&lt;&gt;"",'Spiritual Focus'!R12,"")</f>
        <v/>
      </c>
      <c r="U88" s="49" t="str">
        <f>IF('Spiritual Focus'!S12&lt;&gt;"",'Spiritual Focus'!S12,"")</f>
        <v/>
      </c>
    </row>
    <row r="89" spans="1:21" hidden="1">
      <c r="A89" s="55" t="s">
        <v>403</v>
      </c>
      <c r="B89" s="55"/>
      <c r="M89" s="49" t="str">
        <f>IF('Spiritual Focus'!K13&lt;&gt;"",'Spiritual Focus'!K13,"")</f>
        <v/>
      </c>
      <c r="N89" s="49" t="str">
        <f>IF('Spiritual Focus'!L13&lt;&gt;"",'Spiritual Focus'!L13,"")</f>
        <v/>
      </c>
      <c r="O89" s="49" t="str">
        <f>IF('Spiritual Focus'!M13&lt;&gt;"",'Spiritual Focus'!M13,"")</f>
        <v/>
      </c>
      <c r="P89" s="49" t="str">
        <f>IF('Spiritual Focus'!N13&lt;&gt;"",'Spiritual Focus'!N13,"")</f>
        <v/>
      </c>
      <c r="Q89" s="49" t="str">
        <f>IF('Spiritual Focus'!O13&lt;&gt;"",'Spiritual Focus'!O13,"")</f>
        <v/>
      </c>
      <c r="R89" s="49" t="str">
        <f>IF('Spiritual Focus'!P13&lt;&gt;"",'Spiritual Focus'!P13,"")</f>
        <v/>
      </c>
      <c r="S89" s="49" t="str">
        <f>IF('Spiritual Focus'!Q13&lt;&gt;"",'Spiritual Focus'!Q13,"")</f>
        <v/>
      </c>
      <c r="T89" s="52" t="str">
        <f>IF('Spiritual Focus'!R13&lt;&gt;"",'Spiritual Focus'!R13,"")</f>
        <v/>
      </c>
      <c r="U89" s="49" t="str">
        <f>IF('Spiritual Focus'!S13&lt;&gt;"",'Spiritual Focus'!S13,"")</f>
        <v/>
      </c>
    </row>
    <row r="90" spans="1:21" hidden="1">
      <c r="A90" s="55" t="s">
        <v>404</v>
      </c>
      <c r="B90" s="55"/>
      <c r="M90" s="49" t="str">
        <f>IF('Spiritual Focus'!K14&lt;&gt;"",'Spiritual Focus'!K14,"")</f>
        <v/>
      </c>
      <c r="N90" s="49" t="str">
        <f>IF('Spiritual Focus'!L14&lt;&gt;"",'Spiritual Focus'!L14,"")</f>
        <v/>
      </c>
      <c r="O90" s="49" t="str">
        <f>IF('Spiritual Focus'!M14&lt;&gt;"",'Spiritual Focus'!M14,"")</f>
        <v/>
      </c>
      <c r="P90" s="49" t="str">
        <f>IF('Spiritual Focus'!N14&lt;&gt;"",'Spiritual Focus'!N14,"")</f>
        <v/>
      </c>
      <c r="Q90" s="49" t="str">
        <f>IF('Spiritual Focus'!O14&lt;&gt;"",'Spiritual Focus'!O14,"")</f>
        <v/>
      </c>
      <c r="R90" s="49" t="str">
        <f>IF('Spiritual Focus'!P14&lt;&gt;"",'Spiritual Focus'!P14,"")</f>
        <v/>
      </c>
      <c r="S90" s="49" t="str">
        <f>IF('Spiritual Focus'!Q14&lt;&gt;"",'Spiritual Focus'!Q14,"")</f>
        <v/>
      </c>
      <c r="T90" s="52" t="str">
        <f>IF('Spiritual Focus'!R14&lt;&gt;"",'Spiritual Focus'!R14,"")</f>
        <v/>
      </c>
      <c r="U90" s="49" t="str">
        <f>IF('Spiritual Focus'!S14&lt;&gt;"",'Spiritual Focus'!S14,"")</f>
        <v/>
      </c>
    </row>
    <row r="91" spans="1:21" hidden="1">
      <c r="A91" s="55" t="s">
        <v>405</v>
      </c>
      <c r="B91" s="55"/>
      <c r="M91" s="49" t="str">
        <f>IF('Spiritual Focus'!K15&lt;&gt;"",'Spiritual Focus'!K15,"")</f>
        <v/>
      </c>
      <c r="N91" s="49" t="str">
        <f>IF('Spiritual Focus'!L15&lt;&gt;"",'Spiritual Focus'!L15,"")</f>
        <v/>
      </c>
      <c r="O91" s="49" t="str">
        <f>IF('Spiritual Focus'!M15&lt;&gt;"",'Spiritual Focus'!M15,"")</f>
        <v/>
      </c>
      <c r="P91" s="49" t="str">
        <f>IF('Spiritual Focus'!N15&lt;&gt;"",'Spiritual Focus'!N15,"")</f>
        <v/>
      </c>
      <c r="Q91" s="49" t="str">
        <f>IF('Spiritual Focus'!O15&lt;&gt;"",'Spiritual Focus'!O15,"")</f>
        <v/>
      </c>
      <c r="R91" s="49" t="str">
        <f>IF('Spiritual Focus'!P15&lt;&gt;"",'Spiritual Focus'!P15,"")</f>
        <v/>
      </c>
      <c r="S91" s="49" t="str">
        <f>IF('Spiritual Focus'!Q15&lt;&gt;"",'Spiritual Focus'!Q15,"")</f>
        <v/>
      </c>
      <c r="T91" s="52" t="str">
        <f>IF('Spiritual Focus'!R15&lt;&gt;"",'Spiritual Focus'!R15,"")</f>
        <v/>
      </c>
      <c r="U91" s="49" t="str">
        <f>IF('Spiritual Focus'!S15&lt;&gt;"",'Spiritual Focus'!S15,"")</f>
        <v/>
      </c>
    </row>
    <row r="92" spans="1:21">
      <c r="M92" s="49"/>
      <c r="N92" s="51"/>
      <c r="O92" s="49"/>
      <c r="P92" s="50"/>
      <c r="Q92" s="49"/>
      <c r="R92" s="49"/>
      <c r="S92" s="49"/>
      <c r="T92" s="52"/>
      <c r="U92" s="49"/>
    </row>
    <row r="93" spans="1:21">
      <c r="M93" s="49"/>
      <c r="N93" s="51"/>
      <c r="O93" s="49"/>
      <c r="P93" s="50"/>
      <c r="Q93" s="49"/>
      <c r="R93" s="49"/>
      <c r="S93" s="49"/>
      <c r="T93" s="52"/>
      <c r="U93" s="49"/>
    </row>
    <row r="94" spans="1:21">
      <c r="M94" s="49"/>
      <c r="N94" s="51"/>
      <c r="O94" s="49"/>
      <c r="P94" s="50"/>
      <c r="Q94" s="49"/>
      <c r="R94" s="49"/>
      <c r="S94" s="49"/>
      <c r="T94" s="52"/>
      <c r="U94" s="49"/>
    </row>
    <row r="95" spans="1:21">
      <c r="M95" s="49"/>
      <c r="N95" s="51"/>
      <c r="O95" s="49"/>
      <c r="P95" s="50"/>
      <c r="Q95" s="49"/>
      <c r="R95" s="49"/>
      <c r="S95" s="49"/>
      <c r="T95" s="52"/>
      <c r="U95" s="49"/>
    </row>
    <row r="96" spans="1:21">
      <c r="M96" s="49"/>
      <c r="N96" s="51"/>
      <c r="O96" s="49"/>
      <c r="P96" s="50"/>
      <c r="Q96" s="49"/>
      <c r="R96" s="49"/>
      <c r="S96" s="49"/>
      <c r="T96" s="52"/>
      <c r="U96" s="49"/>
    </row>
    <row r="97" spans="13:21">
      <c r="M97" s="49"/>
      <c r="N97" s="51"/>
      <c r="O97" s="49"/>
      <c r="P97" s="50"/>
      <c r="Q97" s="49"/>
      <c r="R97" s="49"/>
      <c r="S97" s="49"/>
      <c r="T97" s="52"/>
      <c r="U97" s="49"/>
    </row>
    <row r="98" spans="13:21">
      <c r="M98" s="49"/>
      <c r="N98" s="51"/>
      <c r="O98" s="49"/>
      <c r="P98" s="50"/>
      <c r="Q98" s="49"/>
      <c r="R98" s="49"/>
      <c r="S98" s="49"/>
      <c r="T98" s="52"/>
      <c r="U98" s="49"/>
    </row>
    <row r="99" spans="13:21">
      <c r="M99" s="49"/>
      <c r="N99" s="51"/>
      <c r="O99" s="49"/>
      <c r="P99" s="50"/>
      <c r="Q99" s="49"/>
      <c r="R99" s="49"/>
      <c r="S99" s="49"/>
      <c r="T99" s="52"/>
      <c r="U99" s="49"/>
    </row>
    <row r="100" spans="13:21">
      <c r="M100" s="49"/>
      <c r="N100" s="51"/>
      <c r="O100" s="49"/>
      <c r="P100" s="50"/>
      <c r="Q100" s="49"/>
      <c r="R100" s="49"/>
      <c r="S100" s="49"/>
      <c r="T100" s="52"/>
      <c r="U100" s="49"/>
    </row>
    <row r="101" spans="13:21">
      <c r="M101" s="49"/>
      <c r="N101" s="51"/>
      <c r="O101" s="49"/>
      <c r="P101" s="50"/>
      <c r="Q101" s="49"/>
      <c r="R101" s="49"/>
      <c r="S101" s="49"/>
      <c r="T101" s="52"/>
      <c r="U101" s="49"/>
    </row>
    <row r="102" spans="13:21">
      <c r="M102" s="49"/>
      <c r="N102" s="51"/>
      <c r="O102" s="49"/>
      <c r="P102" s="50"/>
      <c r="Q102" s="49"/>
      <c r="R102" s="49"/>
      <c r="S102" s="49"/>
      <c r="T102" s="52"/>
      <c r="U102" s="49"/>
    </row>
    <row r="103" spans="13:21">
      <c r="M103" s="49"/>
      <c r="N103" s="51"/>
      <c r="O103" s="49"/>
      <c r="P103" s="50"/>
      <c r="Q103" s="49"/>
      <c r="R103" s="49"/>
      <c r="S103" s="49"/>
      <c r="T103" s="52"/>
      <c r="U103" s="49"/>
    </row>
    <row r="104" spans="13:21">
      <c r="M104" s="49"/>
      <c r="N104" s="51"/>
      <c r="O104" s="49"/>
      <c r="P104" s="50"/>
      <c r="Q104" s="49"/>
      <c r="R104" s="49"/>
      <c r="S104" s="49"/>
      <c r="T104" s="52"/>
      <c r="U104" s="49"/>
    </row>
    <row r="105" spans="13:21">
      <c r="M105" s="49"/>
      <c r="N105" s="51"/>
      <c r="O105" s="49"/>
      <c r="P105" s="50"/>
      <c r="Q105" s="49"/>
      <c r="R105" s="49"/>
      <c r="S105" s="49"/>
      <c r="T105" s="52"/>
      <c r="U105" s="49"/>
    </row>
    <row r="106" spans="13:21">
      <c r="M106" s="49"/>
      <c r="N106" s="51"/>
      <c r="O106" s="49"/>
      <c r="P106" s="50"/>
      <c r="Q106" s="49"/>
      <c r="R106" s="49"/>
      <c r="S106" s="49"/>
      <c r="T106" s="52"/>
      <c r="U106" s="49"/>
    </row>
    <row r="107" spans="13:21">
      <c r="M107" s="49"/>
      <c r="N107" s="51"/>
      <c r="O107" s="49"/>
      <c r="P107" s="50"/>
      <c r="Q107" s="49"/>
      <c r="R107" s="49"/>
      <c r="S107" s="49"/>
      <c r="T107" s="52"/>
      <c r="U107" s="49"/>
    </row>
    <row r="108" spans="13:21">
      <c r="M108" s="49"/>
      <c r="N108" s="51"/>
      <c r="O108" s="49"/>
      <c r="P108" s="50"/>
      <c r="Q108" s="49"/>
      <c r="R108" s="49"/>
      <c r="S108" s="49"/>
      <c r="T108" s="52"/>
      <c r="U108" s="49"/>
    </row>
    <row r="109" spans="13:21">
      <c r="M109" s="49"/>
      <c r="N109" s="51"/>
      <c r="O109" s="49"/>
      <c r="P109" s="50"/>
      <c r="Q109" s="49"/>
      <c r="R109" s="49"/>
      <c r="S109" s="49"/>
      <c r="T109" s="52"/>
      <c r="U109" s="49"/>
    </row>
    <row r="110" spans="13:21">
      <c r="M110" s="49"/>
      <c r="N110" s="51"/>
      <c r="O110" s="49"/>
      <c r="P110" s="50"/>
      <c r="Q110" s="49"/>
      <c r="R110" s="49"/>
      <c r="S110" s="49"/>
      <c r="T110" s="52"/>
      <c r="U110" s="49"/>
    </row>
    <row r="111" spans="13:21">
      <c r="M111" s="49"/>
      <c r="N111" s="51"/>
      <c r="O111" s="49"/>
      <c r="P111" s="50"/>
      <c r="Q111" s="49"/>
      <c r="R111" s="49"/>
      <c r="S111" s="49"/>
      <c r="T111" s="52"/>
      <c r="U111" s="49"/>
    </row>
    <row r="112" spans="13:21">
      <c r="M112" s="49"/>
      <c r="N112" s="51"/>
      <c r="O112" s="49"/>
      <c r="P112" s="50"/>
      <c r="Q112" s="49"/>
      <c r="R112" s="49"/>
      <c r="S112" s="49"/>
      <c r="T112" s="52"/>
      <c r="U112" s="49"/>
    </row>
    <row r="113" spans="13:21">
      <c r="M113" s="49"/>
      <c r="N113" s="51"/>
      <c r="O113" s="49"/>
      <c r="P113" s="50"/>
      <c r="Q113" s="49"/>
      <c r="R113" s="49"/>
      <c r="S113" s="49"/>
      <c r="T113" s="52"/>
      <c r="U113" s="49"/>
    </row>
    <row r="114" spans="13:21">
      <c r="M114" s="49"/>
      <c r="N114" s="51"/>
      <c r="O114" s="49"/>
      <c r="P114" s="50"/>
      <c r="Q114" s="49"/>
      <c r="R114" s="49"/>
      <c r="S114" s="49"/>
      <c r="T114" s="52"/>
      <c r="U114" s="49"/>
    </row>
    <row r="115" spans="13:21">
      <c r="M115" s="49"/>
      <c r="N115" s="51"/>
      <c r="O115" s="49"/>
      <c r="P115" s="50"/>
      <c r="Q115" s="49"/>
      <c r="R115" s="49"/>
      <c r="S115" s="49"/>
      <c r="T115" s="52"/>
      <c r="U115" s="49"/>
    </row>
    <row r="116" spans="13:21">
      <c r="M116" s="49"/>
      <c r="N116" s="51"/>
      <c r="O116" s="49"/>
      <c r="P116" s="50"/>
      <c r="Q116" s="49"/>
      <c r="R116" s="49"/>
      <c r="S116" s="49"/>
      <c r="T116" s="52"/>
      <c r="U116" s="49"/>
    </row>
    <row r="117" spans="13:21">
      <c r="M117" s="49"/>
      <c r="N117" s="51"/>
      <c r="O117" s="49"/>
      <c r="P117" s="50"/>
      <c r="Q117" s="49"/>
      <c r="R117" s="49"/>
      <c r="S117" s="49"/>
      <c r="T117" s="52"/>
      <c r="U117" s="49"/>
    </row>
    <row r="118" spans="13:21">
      <c r="M118" s="49"/>
      <c r="N118" s="51"/>
      <c r="O118" s="49"/>
      <c r="P118" s="50"/>
      <c r="Q118" s="49"/>
      <c r="R118" s="49"/>
      <c r="S118" s="49"/>
      <c r="T118" s="52"/>
      <c r="U118" s="49"/>
    </row>
    <row r="119" spans="13:21">
      <c r="M119" s="49"/>
      <c r="N119" s="51"/>
      <c r="O119" s="49"/>
      <c r="P119" s="50"/>
      <c r="Q119" s="49"/>
      <c r="R119" s="49"/>
      <c r="S119" s="49"/>
      <c r="T119" s="52"/>
      <c r="U119" s="49"/>
    </row>
    <row r="120" spans="13:21">
      <c r="M120" s="49"/>
      <c r="N120" s="51"/>
      <c r="O120" s="49"/>
      <c r="P120" s="50"/>
      <c r="Q120" s="49"/>
      <c r="R120" s="49"/>
      <c r="S120" s="49"/>
      <c r="T120" s="52"/>
      <c r="U120" s="49"/>
    </row>
    <row r="121" spans="13:21">
      <c r="M121" s="49"/>
      <c r="N121" s="51"/>
      <c r="O121" s="49"/>
      <c r="P121" s="50"/>
      <c r="Q121" s="49"/>
      <c r="R121" s="49"/>
      <c r="S121" s="49"/>
      <c r="T121" s="52"/>
      <c r="U121" s="49"/>
    </row>
    <row r="122" spans="13:21">
      <c r="M122" s="49"/>
      <c r="N122" s="51"/>
      <c r="O122" s="49"/>
      <c r="P122" s="50"/>
      <c r="Q122" s="49"/>
      <c r="R122" s="49"/>
      <c r="S122" s="49"/>
      <c r="T122" s="52"/>
      <c r="U122" s="49"/>
    </row>
    <row r="123" spans="13:21">
      <c r="M123" s="49"/>
      <c r="N123" s="51"/>
      <c r="O123" s="49"/>
      <c r="P123" s="50"/>
      <c r="Q123" s="49"/>
      <c r="R123" s="49"/>
      <c r="S123" s="49"/>
      <c r="T123" s="52"/>
      <c r="U123" s="49"/>
    </row>
    <row r="124" spans="13:21">
      <c r="M124" s="49"/>
      <c r="N124" s="51"/>
      <c r="O124" s="49"/>
      <c r="P124" s="50"/>
      <c r="Q124" s="49"/>
      <c r="R124" s="49"/>
      <c r="S124" s="49"/>
      <c r="T124" s="52"/>
      <c r="U124" s="49"/>
    </row>
    <row r="125" spans="13:21">
      <c r="M125" s="49"/>
      <c r="N125" s="51"/>
      <c r="O125" s="49"/>
      <c r="P125" s="50"/>
      <c r="Q125" s="49"/>
      <c r="R125" s="49"/>
      <c r="S125" s="49"/>
      <c r="T125" s="52"/>
      <c r="U125" s="49"/>
    </row>
    <row r="126" spans="13:21">
      <c r="M126" s="49"/>
      <c r="N126" s="51"/>
      <c r="O126" s="49"/>
      <c r="P126" s="50"/>
      <c r="Q126" s="49"/>
      <c r="R126" s="49"/>
      <c r="S126" s="49"/>
      <c r="T126" s="52"/>
      <c r="U126" s="49"/>
    </row>
    <row r="127" spans="13:21">
      <c r="M127" s="49"/>
      <c r="N127" s="51"/>
      <c r="O127" s="49"/>
      <c r="P127" s="50"/>
      <c r="Q127" s="49"/>
      <c r="R127" s="49"/>
      <c r="S127" s="49"/>
      <c r="T127" s="52"/>
      <c r="U127" s="49"/>
    </row>
    <row r="128" spans="13:21">
      <c r="M128" s="49"/>
      <c r="N128" s="51"/>
      <c r="O128" s="49"/>
      <c r="P128" s="50"/>
      <c r="Q128" s="49"/>
      <c r="R128" s="49"/>
      <c r="S128" s="49"/>
      <c r="T128" s="52"/>
      <c r="U128" s="49"/>
    </row>
    <row r="129" spans="13:21">
      <c r="M129" s="49"/>
      <c r="N129" s="51"/>
      <c r="O129" s="49"/>
      <c r="P129" s="50"/>
      <c r="Q129" s="49"/>
      <c r="R129" s="49"/>
      <c r="S129" s="49"/>
      <c r="T129" s="52"/>
      <c r="U129" s="49"/>
    </row>
    <row r="130" spans="13:21">
      <c r="M130" s="49"/>
      <c r="N130" s="51"/>
      <c r="O130" s="49"/>
      <c r="P130" s="50"/>
      <c r="Q130" s="49"/>
      <c r="R130" s="49"/>
      <c r="S130" s="49"/>
      <c r="T130" s="52"/>
      <c r="U130" s="49"/>
    </row>
    <row r="131" spans="13:21">
      <c r="M131" s="49"/>
      <c r="N131" s="51"/>
      <c r="O131" s="49"/>
      <c r="P131" s="50"/>
      <c r="Q131" s="49"/>
      <c r="R131" s="49"/>
      <c r="S131" s="49"/>
      <c r="T131" s="52"/>
      <c r="U131" s="49"/>
    </row>
    <row r="132" spans="13:21">
      <c r="M132" s="49"/>
      <c r="N132" s="51"/>
      <c r="O132" s="49"/>
      <c r="P132" s="50"/>
      <c r="Q132" s="49"/>
      <c r="R132" s="49"/>
      <c r="S132" s="49"/>
      <c r="T132" s="52"/>
      <c r="U132" s="49"/>
    </row>
    <row r="133" spans="13:21">
      <c r="M133" s="49"/>
      <c r="N133" s="51"/>
      <c r="O133" s="49"/>
      <c r="P133" s="50"/>
      <c r="Q133" s="49"/>
      <c r="R133" s="49"/>
      <c r="S133" s="49"/>
      <c r="T133" s="52"/>
      <c r="U133" s="49"/>
    </row>
    <row r="134" spans="13:21">
      <c r="M134" s="49"/>
      <c r="N134" s="51"/>
      <c r="O134" s="49"/>
      <c r="P134" s="50"/>
      <c r="Q134" s="49"/>
      <c r="R134" s="49"/>
      <c r="S134" s="49"/>
      <c r="T134" s="52"/>
      <c r="U134" s="49"/>
    </row>
    <row r="135" spans="13:21">
      <c r="M135" s="49"/>
      <c r="N135" s="51"/>
      <c r="O135" s="49"/>
      <c r="P135" s="50"/>
      <c r="Q135" s="49"/>
      <c r="R135" s="49"/>
      <c r="S135" s="49"/>
      <c r="T135" s="52"/>
      <c r="U135" s="49"/>
    </row>
    <row r="136" spans="13:21">
      <c r="M136" s="49"/>
      <c r="N136" s="51"/>
      <c r="O136" s="49"/>
      <c r="P136" s="50"/>
      <c r="Q136" s="49"/>
      <c r="R136" s="49"/>
      <c r="S136" s="49"/>
      <c r="T136" s="52"/>
      <c r="U136" s="49"/>
    </row>
    <row r="137" spans="13:21">
      <c r="M137" s="49"/>
      <c r="N137" s="51"/>
      <c r="O137" s="49"/>
      <c r="P137" s="50"/>
      <c r="Q137" s="49"/>
      <c r="R137" s="49"/>
      <c r="S137" s="49"/>
      <c r="T137" s="52"/>
      <c r="U137" s="49"/>
    </row>
    <row r="138" spans="13:21">
      <c r="M138" s="49"/>
      <c r="N138" s="51"/>
      <c r="O138" s="49"/>
      <c r="P138" s="50"/>
      <c r="Q138" s="49"/>
      <c r="R138" s="49"/>
      <c r="S138" s="49"/>
      <c r="T138" s="52"/>
      <c r="U138" s="49"/>
    </row>
    <row r="139" spans="13:21">
      <c r="M139" s="49"/>
      <c r="N139" s="51"/>
      <c r="O139" s="49"/>
      <c r="P139" s="50"/>
      <c r="Q139" s="49"/>
      <c r="R139" s="49"/>
      <c r="S139" s="49"/>
      <c r="T139" s="52"/>
      <c r="U139" s="49"/>
    </row>
    <row r="140" spans="13:21">
      <c r="M140" s="49"/>
      <c r="N140" s="51"/>
      <c r="O140" s="49"/>
      <c r="P140" s="50"/>
      <c r="Q140" s="49"/>
      <c r="R140" s="49"/>
      <c r="S140" s="49"/>
      <c r="T140" s="52"/>
      <c r="U140" s="49"/>
    </row>
    <row r="141" spans="13:21">
      <c r="M141" s="49"/>
      <c r="N141" s="51"/>
      <c r="O141" s="49"/>
      <c r="P141" s="50"/>
      <c r="Q141" s="49"/>
      <c r="R141" s="49"/>
      <c r="S141" s="49"/>
      <c r="T141" s="52"/>
      <c r="U141" s="49"/>
    </row>
    <row r="142" spans="13:21">
      <c r="M142" s="49"/>
      <c r="N142" s="51"/>
      <c r="O142" s="49"/>
      <c r="P142" s="50"/>
      <c r="Q142" s="49"/>
      <c r="R142" s="49"/>
      <c r="S142" s="49"/>
      <c r="T142" s="52"/>
      <c r="U142" s="49"/>
    </row>
    <row r="143" spans="13:21">
      <c r="M143" s="49"/>
      <c r="N143" s="51"/>
      <c r="O143" s="49"/>
      <c r="P143" s="50"/>
      <c r="Q143" s="49"/>
      <c r="R143" s="49"/>
      <c r="S143" s="49"/>
      <c r="T143" s="52"/>
      <c r="U143" s="49"/>
    </row>
    <row r="144" spans="13:21">
      <c r="M144" s="49"/>
      <c r="N144" s="51"/>
      <c r="O144" s="49"/>
      <c r="P144" s="50"/>
      <c r="Q144" s="49"/>
      <c r="R144" s="49"/>
      <c r="S144" s="49"/>
      <c r="T144" s="52"/>
      <c r="U144" s="49"/>
    </row>
    <row r="145" spans="13:21">
      <c r="M145" s="49"/>
      <c r="N145" s="51"/>
      <c r="O145" s="49"/>
      <c r="P145" s="50"/>
      <c r="Q145" s="49"/>
      <c r="R145" s="49"/>
      <c r="S145" s="49"/>
      <c r="T145" s="52"/>
      <c r="U145" s="49"/>
    </row>
    <row r="146" spans="13:21">
      <c r="M146" s="49"/>
      <c r="N146" s="51"/>
      <c r="O146" s="49"/>
      <c r="P146" s="50"/>
      <c r="Q146" s="49"/>
      <c r="R146" s="49"/>
      <c r="S146" s="49"/>
      <c r="T146" s="52"/>
      <c r="U146" s="49"/>
    </row>
    <row r="147" spans="13:21">
      <c r="M147" s="49"/>
      <c r="N147" s="51"/>
      <c r="O147" s="49"/>
      <c r="P147" s="50"/>
      <c r="Q147" s="49"/>
      <c r="R147" s="49"/>
      <c r="S147" s="49"/>
      <c r="T147" s="52"/>
      <c r="U147" s="49"/>
    </row>
    <row r="148" spans="13:21">
      <c r="M148" s="49"/>
      <c r="N148" s="51"/>
      <c r="O148" s="49"/>
      <c r="P148" s="50"/>
      <c r="Q148" s="49"/>
      <c r="R148" s="49"/>
      <c r="S148" s="49"/>
      <c r="T148" s="52"/>
      <c r="U148" s="49"/>
    </row>
    <row r="149" spans="13:21">
      <c r="M149" s="49"/>
      <c r="N149" s="51"/>
      <c r="O149" s="49"/>
      <c r="P149" s="50"/>
      <c r="Q149" s="49"/>
      <c r="R149" s="49"/>
      <c r="S149" s="49"/>
      <c r="T149" s="52"/>
      <c r="U149" s="49"/>
    </row>
    <row r="150" spans="13:21">
      <c r="M150" s="49"/>
      <c r="N150" s="51"/>
      <c r="O150" s="49"/>
      <c r="P150" s="50"/>
      <c r="Q150" s="49"/>
      <c r="R150" s="49"/>
      <c r="S150" s="49"/>
      <c r="T150" s="52"/>
      <c r="U150" s="49"/>
    </row>
    <row r="151" spans="13:21">
      <c r="M151" s="49"/>
      <c r="N151" s="51"/>
      <c r="O151" s="49"/>
      <c r="P151" s="50"/>
      <c r="Q151" s="49"/>
      <c r="R151" s="49"/>
      <c r="S151" s="49"/>
      <c r="T151" s="52"/>
      <c r="U151" s="49"/>
    </row>
    <row r="152" spans="13:21">
      <c r="M152" s="49"/>
      <c r="N152" s="51"/>
      <c r="O152" s="49"/>
      <c r="P152" s="50"/>
      <c r="Q152" s="49"/>
      <c r="R152" s="49"/>
      <c r="S152" s="49"/>
      <c r="T152" s="52"/>
      <c r="U152" s="49"/>
    </row>
    <row r="153" spans="13:21">
      <c r="M153" s="49"/>
      <c r="N153" s="51"/>
      <c r="O153" s="49"/>
      <c r="P153" s="50"/>
      <c r="Q153" s="49"/>
      <c r="R153" s="49"/>
      <c r="S153" s="49"/>
      <c r="T153" s="52"/>
      <c r="U153" s="49"/>
    </row>
    <row r="154" spans="13:21">
      <c r="M154" s="49"/>
      <c r="N154" s="51"/>
      <c r="O154" s="49"/>
      <c r="P154" s="50"/>
      <c r="Q154" s="49"/>
      <c r="R154" s="49"/>
      <c r="S154" s="49"/>
      <c r="T154" s="52"/>
      <c r="U154" s="49"/>
    </row>
    <row r="155" spans="13:21">
      <c r="M155" s="49"/>
      <c r="N155" s="51"/>
      <c r="O155" s="49"/>
      <c r="P155" s="50"/>
      <c r="Q155" s="49"/>
      <c r="R155" s="49"/>
      <c r="S155" s="49"/>
      <c r="T155" s="52"/>
      <c r="U155" s="49"/>
    </row>
    <row r="156" spans="13:21">
      <c r="M156" s="49"/>
      <c r="N156" s="51"/>
      <c r="O156" s="49"/>
      <c r="P156" s="50"/>
      <c r="Q156" s="49"/>
      <c r="R156" s="49"/>
      <c r="S156" s="49"/>
      <c r="T156" s="52"/>
      <c r="U156" s="49"/>
    </row>
    <row r="157" spans="13:21">
      <c r="M157" s="49"/>
      <c r="N157" s="51"/>
      <c r="O157" s="49"/>
      <c r="P157" s="50"/>
      <c r="Q157" s="49"/>
      <c r="R157" s="49"/>
      <c r="S157" s="49"/>
      <c r="T157" s="52"/>
      <c r="U157" s="49"/>
    </row>
    <row r="158" spans="13:21">
      <c r="M158" s="49"/>
      <c r="N158" s="51"/>
      <c r="O158" s="49"/>
      <c r="P158" s="50"/>
      <c r="Q158" s="49"/>
      <c r="R158" s="49"/>
      <c r="S158" s="49"/>
      <c r="T158" s="52"/>
      <c r="U158" s="49"/>
    </row>
    <row r="159" spans="13:21">
      <c r="M159" s="49"/>
      <c r="N159" s="51"/>
      <c r="O159" s="49"/>
      <c r="P159" s="50"/>
      <c r="Q159" s="49"/>
      <c r="R159" s="49"/>
      <c r="S159" s="49"/>
      <c r="T159" s="52"/>
      <c r="U159" s="49"/>
    </row>
    <row r="160" spans="13:21">
      <c r="M160" s="49"/>
      <c r="N160" s="51"/>
      <c r="O160" s="49"/>
      <c r="P160" s="50"/>
      <c r="Q160" s="49"/>
      <c r="R160" s="49"/>
      <c r="S160" s="49"/>
      <c r="T160" s="52"/>
      <c r="U160" s="49"/>
    </row>
    <row r="161" spans="13:21">
      <c r="M161" s="49"/>
      <c r="N161" s="51"/>
      <c r="O161" s="49"/>
      <c r="P161" s="50"/>
      <c r="Q161" s="49"/>
      <c r="R161" s="49"/>
      <c r="S161" s="49"/>
      <c r="T161" s="52"/>
      <c r="U161" s="49"/>
    </row>
    <row r="162" spans="13:21">
      <c r="M162" s="49"/>
      <c r="N162" s="51"/>
      <c r="O162" s="49"/>
      <c r="P162" s="50"/>
      <c r="Q162" s="49"/>
      <c r="R162" s="49"/>
      <c r="S162" s="49"/>
      <c r="T162" s="52"/>
      <c r="U162" s="49"/>
    </row>
    <row r="163" spans="13:21">
      <c r="M163" s="49"/>
      <c r="N163" s="51"/>
      <c r="O163" s="49"/>
      <c r="P163" s="50"/>
      <c r="Q163" s="49"/>
      <c r="R163" s="49"/>
      <c r="S163" s="49"/>
      <c r="T163" s="52"/>
      <c r="U163" s="49"/>
    </row>
    <row r="164" spans="13:21">
      <c r="M164" s="49"/>
      <c r="N164" s="51"/>
      <c r="O164" s="49"/>
      <c r="P164" s="50"/>
      <c r="Q164" s="49"/>
      <c r="R164" s="49"/>
      <c r="S164" s="49"/>
      <c r="T164" s="52"/>
      <c r="U164" s="49"/>
    </row>
    <row r="165" spans="13:21">
      <c r="M165" s="49"/>
      <c r="N165" s="51"/>
      <c r="O165" s="49"/>
      <c r="P165" s="50"/>
      <c r="Q165" s="49"/>
      <c r="R165" s="49"/>
      <c r="S165" s="49"/>
      <c r="T165" s="52"/>
      <c r="U165" s="49"/>
    </row>
    <row r="166" spans="13:21">
      <c r="M166" s="49"/>
      <c r="N166" s="51"/>
      <c r="O166" s="49"/>
      <c r="P166" s="50"/>
      <c r="Q166" s="49"/>
      <c r="R166" s="49"/>
      <c r="S166" s="49"/>
      <c r="T166" s="52"/>
      <c r="U166" s="49"/>
    </row>
    <row r="167" spans="13:21">
      <c r="M167" s="49"/>
      <c r="N167" s="51"/>
      <c r="O167" s="49"/>
      <c r="P167" s="50"/>
      <c r="Q167" s="49"/>
      <c r="R167" s="49"/>
      <c r="S167" s="49"/>
      <c r="T167" s="52"/>
      <c r="U167" s="49"/>
    </row>
    <row r="168" spans="13:21">
      <c r="M168" s="49"/>
      <c r="N168" s="51"/>
      <c r="O168" s="49"/>
      <c r="P168" s="50"/>
      <c r="Q168" s="49"/>
      <c r="R168" s="49"/>
      <c r="S168" s="49"/>
      <c r="T168" s="52"/>
      <c r="U168" s="49"/>
    </row>
    <row r="169" spans="13:21">
      <c r="M169" s="49"/>
      <c r="N169" s="51"/>
      <c r="O169" s="49"/>
      <c r="P169" s="50"/>
      <c r="Q169" s="49"/>
      <c r="R169" s="49"/>
      <c r="S169" s="49"/>
      <c r="T169" s="52"/>
      <c r="U169" s="49"/>
    </row>
    <row r="170" spans="13:21">
      <c r="M170" s="49"/>
      <c r="N170" s="51"/>
      <c r="O170" s="49"/>
      <c r="P170" s="50"/>
      <c r="Q170" s="49"/>
      <c r="R170" s="49"/>
      <c r="S170" s="49"/>
      <c r="T170" s="52"/>
      <c r="U170" s="49"/>
    </row>
    <row r="171" spans="13:21">
      <c r="M171" s="49"/>
      <c r="N171" s="51"/>
      <c r="O171" s="49"/>
      <c r="P171" s="50"/>
      <c r="Q171" s="49"/>
      <c r="R171" s="49"/>
      <c r="S171" s="49"/>
      <c r="T171" s="52"/>
      <c r="U171" s="49"/>
    </row>
    <row r="172" spans="13:21">
      <c r="M172" s="49"/>
      <c r="N172" s="51"/>
      <c r="O172" s="49"/>
      <c r="P172" s="50"/>
      <c r="Q172" s="49"/>
      <c r="R172" s="49"/>
      <c r="S172" s="49"/>
      <c r="T172" s="52"/>
      <c r="U172" s="49"/>
    </row>
    <row r="173" spans="13:21">
      <c r="M173" s="49"/>
      <c r="N173" s="51"/>
      <c r="O173" s="49"/>
      <c r="P173" s="50"/>
      <c r="Q173" s="49"/>
      <c r="R173" s="49"/>
      <c r="S173" s="49"/>
      <c r="T173" s="52"/>
      <c r="U173" s="49"/>
    </row>
    <row r="174" spans="13:21">
      <c r="M174" s="49"/>
      <c r="N174" s="51"/>
      <c r="O174" s="49"/>
      <c r="P174" s="50"/>
      <c r="Q174" s="49"/>
      <c r="R174" s="49"/>
      <c r="S174" s="49"/>
      <c r="T174" s="52"/>
      <c r="U174" s="49"/>
    </row>
    <row r="175" spans="13:21">
      <c r="M175" s="49"/>
      <c r="N175" s="51"/>
      <c r="O175" s="49"/>
      <c r="P175" s="50"/>
      <c r="Q175" s="49"/>
      <c r="R175" s="49"/>
      <c r="S175" s="49"/>
      <c r="T175" s="52"/>
      <c r="U175" s="49"/>
    </row>
    <row r="176" spans="13:21">
      <c r="M176" s="49"/>
      <c r="N176" s="51"/>
      <c r="O176" s="49"/>
      <c r="P176" s="50"/>
      <c r="Q176" s="49"/>
      <c r="R176" s="49"/>
      <c r="S176" s="49"/>
      <c r="T176" s="52"/>
      <c r="U176" s="49"/>
    </row>
    <row r="177" spans="13:21">
      <c r="M177" s="49"/>
      <c r="N177" s="51"/>
      <c r="O177" s="49"/>
      <c r="P177" s="50"/>
      <c r="Q177" s="49"/>
      <c r="R177" s="49"/>
      <c r="S177" s="49"/>
      <c r="T177" s="52"/>
      <c r="U177" s="49"/>
    </row>
    <row r="178" spans="13:21">
      <c r="M178" s="49"/>
      <c r="N178" s="51"/>
      <c r="O178" s="49"/>
      <c r="P178" s="50"/>
      <c r="Q178" s="49"/>
      <c r="R178" s="49"/>
      <c r="S178" s="49"/>
      <c r="T178" s="52"/>
      <c r="U178" s="49"/>
    </row>
    <row r="179" spans="13:21">
      <c r="M179" s="49"/>
      <c r="N179" s="51"/>
      <c r="O179" s="49"/>
      <c r="P179" s="50"/>
      <c r="Q179" s="49"/>
      <c r="R179" s="49"/>
      <c r="S179" s="49"/>
      <c r="T179" s="52"/>
      <c r="U179" s="49"/>
    </row>
    <row r="180" spans="13:21">
      <c r="M180" s="49"/>
      <c r="N180" s="51"/>
      <c r="O180" s="49"/>
      <c r="P180" s="50"/>
      <c r="Q180" s="49"/>
      <c r="R180" s="49"/>
      <c r="S180" s="49"/>
      <c r="T180" s="52"/>
      <c r="U180" s="49"/>
    </row>
    <row r="181" spans="13:21">
      <c r="M181" s="49"/>
      <c r="N181" s="51"/>
      <c r="O181" s="49"/>
      <c r="P181" s="50"/>
      <c r="Q181" s="49"/>
      <c r="R181" s="49"/>
      <c r="S181" s="49"/>
      <c r="T181" s="52"/>
      <c r="U181" s="49"/>
    </row>
    <row r="182" spans="13:21">
      <c r="M182" s="49"/>
      <c r="N182" s="51"/>
      <c r="O182" s="49"/>
      <c r="P182" s="50"/>
      <c r="Q182" s="49"/>
      <c r="R182" s="49"/>
      <c r="S182" s="49"/>
      <c r="T182" s="52"/>
      <c r="U182" s="49"/>
    </row>
    <row r="183" spans="13:21">
      <c r="M183" s="49"/>
      <c r="N183" s="51"/>
      <c r="O183" s="49"/>
      <c r="P183" s="50"/>
      <c r="Q183" s="49"/>
      <c r="R183" s="49"/>
      <c r="S183" s="49"/>
      <c r="T183" s="52"/>
      <c r="U183" s="49"/>
    </row>
    <row r="184" spans="13:21">
      <c r="M184" s="49"/>
      <c r="N184" s="51"/>
      <c r="O184" s="49"/>
      <c r="P184" s="50"/>
      <c r="Q184" s="49"/>
      <c r="R184" s="49"/>
      <c r="S184" s="49"/>
      <c r="T184" s="52"/>
      <c r="U184" s="49"/>
    </row>
    <row r="185" spans="13:21">
      <c r="M185" s="49"/>
      <c r="N185" s="51"/>
      <c r="O185" s="49"/>
      <c r="P185" s="50"/>
      <c r="Q185" s="49"/>
      <c r="R185" s="49"/>
      <c r="S185" s="49"/>
      <c r="T185" s="52"/>
      <c r="U185" s="49"/>
    </row>
    <row r="186" spans="13:21">
      <c r="M186" s="49"/>
      <c r="N186" s="51"/>
      <c r="O186" s="49"/>
      <c r="P186" s="50"/>
      <c r="Q186" s="49"/>
      <c r="R186" s="49"/>
      <c r="S186" s="49"/>
      <c r="T186" s="52"/>
      <c r="U186" s="49"/>
    </row>
    <row r="187" spans="13:21">
      <c r="M187" s="49"/>
      <c r="N187" s="51"/>
      <c r="O187" s="49"/>
      <c r="P187" s="50"/>
      <c r="Q187" s="49"/>
      <c r="R187" s="49"/>
      <c r="S187" s="49"/>
      <c r="T187" s="52"/>
      <c r="U187" s="49"/>
    </row>
    <row r="188" spans="13:21">
      <c r="M188" s="49"/>
      <c r="N188" s="51"/>
      <c r="O188" s="49"/>
      <c r="P188" s="50"/>
      <c r="Q188" s="49"/>
      <c r="R188" s="49"/>
      <c r="S188" s="49"/>
      <c r="T188" s="52"/>
      <c r="U188" s="49"/>
    </row>
    <row r="189" spans="13:21">
      <c r="M189" s="49"/>
      <c r="N189" s="51"/>
      <c r="O189" s="49"/>
      <c r="P189" s="50"/>
      <c r="Q189" s="49"/>
      <c r="R189" s="49"/>
      <c r="S189" s="49"/>
      <c r="T189" s="52"/>
      <c r="U189" s="49"/>
    </row>
    <row r="190" spans="13:21">
      <c r="M190" s="49"/>
      <c r="N190" s="51"/>
      <c r="O190" s="49"/>
      <c r="P190" s="50"/>
      <c r="Q190" s="49"/>
      <c r="R190" s="49"/>
      <c r="S190" s="49"/>
      <c r="T190" s="52"/>
      <c r="U190" s="49"/>
    </row>
    <row r="191" spans="13:21">
      <c r="M191" s="49"/>
      <c r="N191" s="51"/>
      <c r="O191" s="49"/>
      <c r="P191" s="50"/>
      <c r="Q191" s="49"/>
      <c r="R191" s="49"/>
      <c r="S191" s="49"/>
      <c r="T191" s="52"/>
      <c r="U191" s="49"/>
    </row>
    <row r="192" spans="13:21">
      <c r="M192" s="49"/>
      <c r="N192" s="51"/>
      <c r="O192" s="49"/>
      <c r="P192" s="50"/>
      <c r="Q192" s="49"/>
      <c r="R192" s="49"/>
      <c r="S192" s="49"/>
      <c r="T192" s="52"/>
      <c r="U192" s="49"/>
    </row>
    <row r="193" spans="13:21">
      <c r="M193" s="49"/>
      <c r="N193" s="51"/>
      <c r="O193" s="49"/>
      <c r="P193" s="50"/>
      <c r="Q193" s="49"/>
      <c r="R193" s="49"/>
      <c r="S193" s="49"/>
      <c r="T193" s="52"/>
      <c r="U193" s="49"/>
    </row>
    <row r="194" spans="13:21">
      <c r="M194" s="49"/>
      <c r="N194" s="51"/>
      <c r="O194" s="49"/>
      <c r="P194" s="50"/>
      <c r="Q194" s="49"/>
      <c r="R194" s="49"/>
      <c r="S194" s="49"/>
      <c r="T194" s="52"/>
      <c r="U194" s="49"/>
    </row>
    <row r="195" spans="13:21">
      <c r="M195" s="49"/>
      <c r="N195" s="51"/>
      <c r="O195" s="49"/>
      <c r="P195" s="50"/>
      <c r="Q195" s="49"/>
      <c r="R195" s="49"/>
      <c r="S195" s="49"/>
      <c r="T195" s="52"/>
      <c r="U195" s="49"/>
    </row>
    <row r="196" spans="13:21">
      <c r="M196" s="49"/>
      <c r="N196" s="51"/>
      <c r="O196" s="49"/>
      <c r="P196" s="50"/>
      <c r="Q196" s="49"/>
      <c r="R196" s="49"/>
      <c r="S196" s="49"/>
      <c r="T196" s="52"/>
      <c r="U196" s="49"/>
    </row>
    <row r="197" spans="13:21">
      <c r="M197" s="49"/>
      <c r="N197" s="51"/>
      <c r="O197" s="49"/>
      <c r="P197" s="50"/>
      <c r="Q197" s="49"/>
      <c r="R197" s="49"/>
      <c r="S197" s="49"/>
      <c r="T197" s="52"/>
      <c r="U197" s="49"/>
    </row>
    <row r="198" spans="13:21">
      <c r="M198" s="49"/>
      <c r="N198" s="51"/>
      <c r="O198" s="49"/>
      <c r="P198" s="50"/>
      <c r="Q198" s="49"/>
      <c r="R198" s="49"/>
      <c r="S198" s="49"/>
      <c r="T198" s="52"/>
      <c r="U198" s="49"/>
    </row>
    <row r="199" spans="13:21">
      <c r="M199" s="49"/>
      <c r="N199" s="51"/>
      <c r="O199" s="49"/>
      <c r="P199" s="50"/>
      <c r="Q199" s="49"/>
      <c r="R199" s="49"/>
      <c r="S199" s="49"/>
      <c r="T199" s="52"/>
      <c r="U199" s="49"/>
    </row>
    <row r="200" spans="13:21">
      <c r="M200" s="49"/>
      <c r="N200" s="51"/>
      <c r="O200" s="49"/>
      <c r="P200" s="50"/>
      <c r="Q200" s="49"/>
      <c r="R200" s="49"/>
      <c r="S200" s="49"/>
      <c r="T200" s="52"/>
      <c r="U200" s="49"/>
    </row>
    <row r="201" spans="13:21">
      <c r="M201" s="49"/>
      <c r="N201" s="51"/>
      <c r="O201" s="49"/>
      <c r="P201" s="50"/>
      <c r="Q201" s="49"/>
      <c r="R201" s="49"/>
      <c r="S201" s="49"/>
      <c r="T201" s="52"/>
      <c r="U201" s="49"/>
    </row>
    <row r="202" spans="13:21">
      <c r="M202" s="49"/>
      <c r="N202" s="51"/>
      <c r="O202" s="49"/>
      <c r="P202" s="50"/>
      <c r="Q202" s="49"/>
      <c r="R202" s="49"/>
      <c r="S202" s="49"/>
      <c r="T202" s="52"/>
      <c r="U202" s="49"/>
    </row>
    <row r="203" spans="13:21">
      <c r="M203" s="49"/>
      <c r="N203" s="51"/>
      <c r="O203" s="49"/>
      <c r="P203" s="50"/>
      <c r="Q203" s="49"/>
      <c r="R203" s="49"/>
      <c r="S203" s="49"/>
      <c r="T203" s="52"/>
      <c r="U203" s="49"/>
    </row>
    <row r="204" spans="13:21">
      <c r="M204" s="49"/>
      <c r="N204" s="51"/>
      <c r="O204" s="49"/>
      <c r="P204" s="50"/>
      <c r="Q204" s="49"/>
      <c r="R204" s="49"/>
      <c r="S204" s="49"/>
      <c r="T204" s="52"/>
      <c r="U204" s="49"/>
    </row>
    <row r="205" spans="13:21">
      <c r="M205" s="49"/>
      <c r="N205" s="51"/>
      <c r="O205" s="49"/>
      <c r="P205" s="50"/>
      <c r="Q205" s="49"/>
      <c r="R205" s="49"/>
      <c r="S205" s="49"/>
      <c r="T205" s="52"/>
      <c r="U205" s="49"/>
    </row>
    <row r="206" spans="13:21">
      <c r="M206" s="49"/>
      <c r="N206" s="51"/>
      <c r="O206" s="49"/>
      <c r="P206" s="50"/>
      <c r="Q206" s="49"/>
      <c r="R206" s="49"/>
      <c r="S206" s="49"/>
      <c r="T206" s="52"/>
      <c r="U206" s="49"/>
    </row>
    <row r="207" spans="13:21">
      <c r="M207" s="49"/>
      <c r="N207" s="51"/>
      <c r="O207" s="49"/>
      <c r="P207" s="50"/>
      <c r="Q207" s="49"/>
      <c r="R207" s="49"/>
      <c r="S207" s="49"/>
      <c r="T207" s="52"/>
      <c r="U207" s="49"/>
    </row>
    <row r="208" spans="13:21">
      <c r="M208" s="49"/>
      <c r="N208" s="51"/>
      <c r="O208" s="49"/>
      <c r="P208" s="50"/>
      <c r="Q208" s="49"/>
      <c r="R208" s="49"/>
      <c r="S208" s="49"/>
      <c r="T208" s="52"/>
      <c r="U208" s="49"/>
    </row>
    <row r="209" spans="13:21">
      <c r="M209" s="49"/>
      <c r="N209" s="51"/>
      <c r="O209" s="49"/>
      <c r="P209" s="50"/>
      <c r="Q209" s="49"/>
      <c r="R209" s="49"/>
      <c r="S209" s="49"/>
      <c r="T209" s="52"/>
      <c r="U209" s="49"/>
    </row>
    <row r="210" spans="13:21">
      <c r="M210" s="49"/>
      <c r="N210" s="51"/>
      <c r="O210" s="49"/>
      <c r="P210" s="50"/>
      <c r="Q210" s="49"/>
      <c r="R210" s="49"/>
      <c r="S210" s="49"/>
      <c r="T210" s="52"/>
      <c r="U210" s="49"/>
    </row>
    <row r="211" spans="13:21">
      <c r="M211" s="49"/>
      <c r="N211" s="51"/>
      <c r="O211" s="49"/>
      <c r="P211" s="50"/>
      <c r="Q211" s="49"/>
      <c r="R211" s="49"/>
      <c r="S211" s="49"/>
      <c r="T211" s="52"/>
      <c r="U211" s="49"/>
    </row>
    <row r="212" spans="13:21">
      <c r="M212" s="49"/>
      <c r="N212" s="51"/>
      <c r="O212" s="49"/>
      <c r="P212" s="50"/>
      <c r="Q212" s="49"/>
      <c r="R212" s="49"/>
      <c r="S212" s="49"/>
      <c r="T212" s="52"/>
      <c r="U212" s="49"/>
    </row>
    <row r="213" spans="13:21">
      <c r="M213" s="49"/>
      <c r="N213" s="51"/>
      <c r="O213" s="49"/>
      <c r="P213" s="50"/>
      <c r="Q213" s="49"/>
      <c r="R213" s="49"/>
      <c r="S213" s="49"/>
      <c r="T213" s="52"/>
      <c r="U213" s="49"/>
    </row>
    <row r="214" spans="13:21">
      <c r="M214" s="49"/>
      <c r="N214" s="51"/>
      <c r="O214" s="49"/>
      <c r="P214" s="50"/>
      <c r="Q214" s="49"/>
      <c r="R214" s="49"/>
      <c r="S214" s="49"/>
      <c r="T214" s="52"/>
      <c r="U214" s="49"/>
    </row>
    <row r="215" spans="13:21">
      <c r="M215" s="49"/>
      <c r="N215" s="51"/>
      <c r="O215" s="49"/>
      <c r="P215" s="50"/>
      <c r="Q215" s="49"/>
      <c r="R215" s="49"/>
      <c r="S215" s="49"/>
      <c r="T215" s="52"/>
      <c r="U215" s="49"/>
    </row>
    <row r="216" spans="13:21">
      <c r="M216" s="49"/>
      <c r="N216" s="51"/>
      <c r="O216" s="49"/>
      <c r="P216" s="50"/>
      <c r="Q216" s="49"/>
      <c r="R216" s="49"/>
      <c r="S216" s="49"/>
      <c r="T216" s="52"/>
      <c r="U216" s="49"/>
    </row>
    <row r="217" spans="13:21">
      <c r="M217" s="49"/>
      <c r="N217" s="51"/>
      <c r="O217" s="49"/>
      <c r="P217" s="50"/>
      <c r="Q217" s="49"/>
      <c r="R217" s="49"/>
      <c r="S217" s="49"/>
      <c r="T217" s="52"/>
      <c r="U217" s="49"/>
    </row>
    <row r="218" spans="13:21">
      <c r="M218" s="49"/>
      <c r="N218" s="51"/>
      <c r="O218" s="49"/>
      <c r="P218" s="50"/>
      <c r="Q218" s="49"/>
      <c r="R218" s="49"/>
      <c r="S218" s="49"/>
      <c r="T218" s="52"/>
      <c r="U218" s="49"/>
    </row>
    <row r="219" spans="13:21">
      <c r="M219" s="49"/>
      <c r="N219" s="51"/>
      <c r="O219" s="49"/>
      <c r="P219" s="50"/>
      <c r="Q219" s="49"/>
      <c r="R219" s="49"/>
      <c r="S219" s="49"/>
      <c r="T219" s="52"/>
      <c r="U219" s="49"/>
    </row>
    <row r="220" spans="13:21">
      <c r="M220" s="49"/>
      <c r="N220" s="51"/>
      <c r="O220" s="49"/>
      <c r="P220" s="50"/>
      <c r="Q220" s="49"/>
      <c r="R220" s="49"/>
      <c r="S220" s="49"/>
      <c r="T220" s="52"/>
      <c r="U220" s="49"/>
    </row>
    <row r="221" spans="13:21">
      <c r="M221" s="49"/>
      <c r="N221" s="51"/>
      <c r="O221" s="49"/>
      <c r="P221" s="50"/>
      <c r="Q221" s="49"/>
      <c r="R221" s="49"/>
      <c r="S221" s="49"/>
      <c r="T221" s="52"/>
      <c r="U221" s="49"/>
    </row>
    <row r="222" spans="13:21">
      <c r="M222" s="49"/>
      <c r="N222" s="51"/>
      <c r="O222" s="49"/>
      <c r="P222" s="50"/>
      <c r="Q222" s="49"/>
      <c r="R222" s="49"/>
      <c r="S222" s="49"/>
      <c r="T222" s="52"/>
      <c r="U222" s="49"/>
    </row>
    <row r="223" spans="13:21">
      <c r="M223" s="49"/>
      <c r="N223" s="51"/>
      <c r="O223" s="49"/>
      <c r="P223" s="50"/>
      <c r="Q223" s="49"/>
      <c r="R223" s="49"/>
      <c r="S223" s="49"/>
      <c r="T223" s="52"/>
      <c r="U223" s="49"/>
    </row>
    <row r="224" spans="13:21">
      <c r="M224" s="49"/>
      <c r="N224" s="51"/>
      <c r="O224" s="49"/>
      <c r="P224" s="50"/>
      <c r="Q224" s="49"/>
      <c r="R224" s="49"/>
      <c r="S224" s="49"/>
      <c r="T224" s="52"/>
      <c r="U224" s="49"/>
    </row>
    <row r="225" spans="13:21">
      <c r="M225" s="49"/>
      <c r="N225" s="51"/>
      <c r="O225" s="49"/>
      <c r="P225" s="50"/>
      <c r="Q225" s="49"/>
      <c r="R225" s="49"/>
      <c r="S225" s="49"/>
      <c r="T225" s="52"/>
      <c r="U225" s="49"/>
    </row>
    <row r="226" spans="13:21">
      <c r="M226" s="49"/>
      <c r="N226" s="51"/>
      <c r="O226" s="49"/>
      <c r="P226" s="50"/>
      <c r="Q226" s="49"/>
      <c r="R226" s="49"/>
      <c r="S226" s="49"/>
      <c r="T226" s="52"/>
      <c r="U226" s="49"/>
    </row>
    <row r="227" spans="13:21">
      <c r="M227" s="49"/>
      <c r="N227" s="51"/>
      <c r="O227" s="49"/>
      <c r="P227" s="50"/>
      <c r="Q227" s="49"/>
      <c r="R227" s="49"/>
      <c r="S227" s="49"/>
      <c r="T227" s="52"/>
      <c r="U227" s="49"/>
    </row>
    <row r="228" spans="13:21">
      <c r="M228" s="49"/>
      <c r="N228" s="51"/>
      <c r="O228" s="49"/>
      <c r="P228" s="50"/>
      <c r="Q228" s="49"/>
      <c r="R228" s="49"/>
      <c r="S228" s="49"/>
      <c r="T228" s="52"/>
      <c r="U228" s="49"/>
    </row>
    <row r="229" spans="13:21">
      <c r="M229" s="49"/>
      <c r="N229" s="51"/>
      <c r="O229" s="49"/>
      <c r="P229" s="50"/>
      <c r="Q229" s="49"/>
      <c r="R229" s="49"/>
      <c r="S229" s="49"/>
      <c r="T229" s="52"/>
      <c r="U229" s="49"/>
    </row>
    <row r="230" spans="13:21">
      <c r="M230" s="49"/>
      <c r="N230" s="51"/>
      <c r="O230" s="49"/>
      <c r="P230" s="50"/>
      <c r="Q230" s="49"/>
      <c r="R230" s="49"/>
      <c r="S230" s="49"/>
      <c r="T230" s="52"/>
      <c r="U230" s="49"/>
    </row>
    <row r="231" spans="13:21">
      <c r="M231" s="49"/>
      <c r="N231" s="51"/>
      <c r="O231" s="49"/>
      <c r="P231" s="50"/>
      <c r="Q231" s="49"/>
      <c r="R231" s="49"/>
      <c r="S231" s="49"/>
      <c r="T231" s="52"/>
      <c r="U231" s="49"/>
    </row>
    <row r="232" spans="13:21">
      <c r="M232" s="49"/>
      <c r="N232" s="51"/>
      <c r="O232" s="49"/>
      <c r="P232" s="50"/>
      <c r="Q232" s="49"/>
      <c r="R232" s="49"/>
      <c r="S232" s="49"/>
      <c r="T232" s="52"/>
      <c r="U232" s="49"/>
    </row>
    <row r="233" spans="13:21">
      <c r="M233" s="49"/>
      <c r="N233" s="51"/>
      <c r="O233" s="49"/>
      <c r="P233" s="50"/>
      <c r="Q233" s="49"/>
      <c r="R233" s="49"/>
      <c r="S233" s="49"/>
      <c r="T233" s="52"/>
      <c r="U233" s="49"/>
    </row>
    <row r="234" spans="13:21">
      <c r="M234" s="49"/>
      <c r="N234" s="51"/>
      <c r="O234" s="49"/>
      <c r="P234" s="50"/>
      <c r="Q234" s="49"/>
      <c r="R234" s="49"/>
      <c r="S234" s="49"/>
      <c r="T234" s="52"/>
      <c r="U234" s="49"/>
    </row>
    <row r="235" spans="13:21">
      <c r="M235" s="49"/>
      <c r="N235" s="51"/>
      <c r="O235" s="49"/>
      <c r="P235" s="50"/>
      <c r="Q235" s="49"/>
      <c r="R235" s="49"/>
      <c r="S235" s="49"/>
      <c r="T235" s="52"/>
      <c r="U235" s="49"/>
    </row>
    <row r="236" spans="13:21">
      <c r="M236" s="49"/>
      <c r="N236" s="51"/>
      <c r="O236" s="49"/>
      <c r="P236" s="50"/>
      <c r="Q236" s="49"/>
      <c r="R236" s="49"/>
      <c r="S236" s="49"/>
      <c r="T236" s="52"/>
      <c r="U236" s="49"/>
    </row>
    <row r="237" spans="13:21">
      <c r="M237" s="49"/>
      <c r="N237" s="51"/>
      <c r="O237" s="49"/>
      <c r="P237" s="50"/>
      <c r="Q237" s="49"/>
      <c r="R237" s="49"/>
      <c r="S237" s="49"/>
      <c r="T237" s="52"/>
      <c r="U237" s="49"/>
    </row>
    <row r="238" spans="13:21">
      <c r="M238" s="49"/>
      <c r="N238" s="51"/>
      <c r="O238" s="49"/>
      <c r="P238" s="50"/>
      <c r="Q238" s="49"/>
      <c r="R238" s="49"/>
      <c r="S238" s="49"/>
      <c r="T238" s="52"/>
      <c r="U238" s="49"/>
    </row>
    <row r="239" spans="13:21">
      <c r="M239" s="49"/>
      <c r="N239" s="51"/>
      <c r="O239" s="49"/>
      <c r="P239" s="50"/>
      <c r="Q239" s="49"/>
      <c r="R239" s="49"/>
      <c r="S239" s="49"/>
      <c r="T239" s="52"/>
      <c r="U239" s="49"/>
    </row>
    <row r="240" spans="13:21">
      <c r="M240" s="49"/>
      <c r="N240" s="51"/>
      <c r="O240" s="49"/>
      <c r="P240" s="50"/>
      <c r="Q240" s="49"/>
      <c r="R240" s="49"/>
      <c r="S240" s="49"/>
      <c r="T240" s="52"/>
      <c r="U240" s="49"/>
    </row>
    <row r="241" spans="13:21">
      <c r="M241" s="49"/>
      <c r="N241" s="51"/>
      <c r="O241" s="49"/>
      <c r="P241" s="50"/>
      <c r="Q241" s="49"/>
      <c r="R241" s="49"/>
      <c r="S241" s="49"/>
      <c r="T241" s="52"/>
      <c r="U241" s="49"/>
    </row>
    <row r="242" spans="13:21">
      <c r="M242" s="49"/>
      <c r="N242" s="51"/>
      <c r="O242" s="49"/>
      <c r="P242" s="50"/>
      <c r="Q242" s="49"/>
      <c r="R242" s="49"/>
      <c r="S242" s="49"/>
      <c r="T242" s="52"/>
      <c r="U242" s="49"/>
    </row>
    <row r="243" spans="13:21">
      <c r="M243" s="49"/>
      <c r="N243" s="51"/>
      <c r="O243" s="49"/>
      <c r="P243" s="50"/>
      <c r="Q243" s="49"/>
      <c r="R243" s="49"/>
      <c r="S243" s="49"/>
      <c r="T243" s="52"/>
      <c r="U243" s="49"/>
    </row>
    <row r="244" spans="13:21">
      <c r="M244" s="49"/>
      <c r="N244" s="51"/>
      <c r="O244" s="49"/>
      <c r="P244" s="50"/>
      <c r="Q244" s="49"/>
      <c r="R244" s="49"/>
      <c r="S244" s="49"/>
      <c r="T244" s="52"/>
      <c r="U244" s="49"/>
    </row>
    <row r="245" spans="13:21">
      <c r="M245" s="49"/>
      <c r="N245" s="51"/>
      <c r="O245" s="49"/>
      <c r="P245" s="50"/>
      <c r="Q245" s="49"/>
      <c r="R245" s="49"/>
      <c r="S245" s="49"/>
      <c r="T245" s="52"/>
      <c r="U245" s="49"/>
    </row>
    <row r="246" spans="13:21">
      <c r="M246" s="49"/>
      <c r="N246" s="51"/>
      <c r="O246" s="49"/>
      <c r="P246" s="50"/>
      <c r="Q246" s="49"/>
      <c r="R246" s="49"/>
      <c r="S246" s="49"/>
      <c r="T246" s="52"/>
      <c r="U246" s="49"/>
    </row>
    <row r="247" spans="13:21">
      <c r="M247" s="49"/>
      <c r="N247" s="51"/>
      <c r="O247" s="49"/>
      <c r="P247" s="50"/>
      <c r="Q247" s="49"/>
      <c r="R247" s="49"/>
      <c r="S247" s="49"/>
      <c r="T247" s="52"/>
      <c r="U247" s="49"/>
    </row>
    <row r="248" spans="13:21">
      <c r="M248" s="49"/>
      <c r="N248" s="51"/>
      <c r="O248" s="49"/>
      <c r="P248" s="50"/>
      <c r="Q248" s="49"/>
      <c r="R248" s="49"/>
      <c r="S248" s="49"/>
      <c r="T248" s="52"/>
      <c r="U248" s="49"/>
    </row>
    <row r="249" spans="13:21">
      <c r="M249" s="49"/>
      <c r="N249" s="51"/>
      <c r="O249" s="49"/>
      <c r="P249" s="50"/>
      <c r="Q249" s="49"/>
      <c r="R249" s="49"/>
      <c r="S249" s="49"/>
      <c r="T249" s="52"/>
      <c r="U249" s="49"/>
    </row>
    <row r="250" spans="13:21">
      <c r="M250" s="49"/>
      <c r="N250" s="51"/>
      <c r="O250" s="49"/>
      <c r="P250" s="50"/>
      <c r="Q250" s="49"/>
      <c r="R250" s="49"/>
      <c r="S250" s="49"/>
      <c r="T250" s="52"/>
      <c r="U250" s="49"/>
    </row>
    <row r="251" spans="13:21">
      <c r="M251" s="49"/>
      <c r="N251" s="51"/>
      <c r="O251" s="49"/>
      <c r="P251" s="50"/>
      <c r="Q251" s="49"/>
      <c r="R251" s="49"/>
      <c r="S251" s="49"/>
      <c r="T251" s="52"/>
      <c r="U251" s="49"/>
    </row>
    <row r="252" spans="13:21">
      <c r="M252" s="49"/>
      <c r="N252" s="51"/>
      <c r="O252" s="49"/>
      <c r="P252" s="50"/>
      <c r="Q252" s="49"/>
      <c r="R252" s="49"/>
      <c r="S252" s="49"/>
      <c r="T252" s="52"/>
      <c r="U252" s="49"/>
    </row>
    <row r="253" spans="13:21">
      <c r="M253" s="49"/>
      <c r="N253" s="51"/>
      <c r="O253" s="49"/>
      <c r="P253" s="50"/>
      <c r="Q253" s="49"/>
      <c r="R253" s="49"/>
      <c r="S253" s="49"/>
      <c r="T253" s="52"/>
      <c r="U253" s="49"/>
    </row>
    <row r="254" spans="13:21">
      <c r="M254" s="49"/>
      <c r="N254" s="51"/>
      <c r="O254" s="49"/>
      <c r="P254" s="50"/>
      <c r="Q254" s="49"/>
      <c r="R254" s="49"/>
      <c r="S254" s="49"/>
      <c r="T254" s="52"/>
      <c r="U254" s="49"/>
    </row>
    <row r="255" spans="13:21">
      <c r="M255" s="49"/>
      <c r="N255" s="51"/>
      <c r="O255" s="49"/>
      <c r="P255" s="50"/>
      <c r="Q255" s="49"/>
      <c r="R255" s="49"/>
      <c r="S255" s="49"/>
      <c r="T255" s="52"/>
      <c r="U255" s="49"/>
    </row>
    <row r="256" spans="13:21">
      <c r="M256" s="49"/>
      <c r="N256" s="51"/>
      <c r="O256" s="49"/>
      <c r="P256" s="50"/>
      <c r="Q256" s="49"/>
      <c r="R256" s="49"/>
      <c r="S256" s="49"/>
      <c r="T256" s="52"/>
      <c r="U256" s="49"/>
    </row>
    <row r="257" spans="13:21">
      <c r="M257" s="49"/>
      <c r="N257" s="51"/>
      <c r="O257" s="49"/>
      <c r="P257" s="50"/>
      <c r="Q257" s="49"/>
      <c r="R257" s="49"/>
      <c r="S257" s="49"/>
      <c r="T257" s="52"/>
      <c r="U257" s="49"/>
    </row>
    <row r="258" spans="13:21">
      <c r="M258" s="49"/>
      <c r="N258" s="51"/>
      <c r="O258" s="49"/>
      <c r="P258" s="50"/>
      <c r="Q258" s="49"/>
      <c r="R258" s="49"/>
      <c r="S258" s="49"/>
      <c r="T258" s="52"/>
      <c r="U258" s="49"/>
    </row>
    <row r="259" spans="13:21">
      <c r="M259" s="49"/>
      <c r="N259" s="51"/>
      <c r="O259" s="49"/>
      <c r="P259" s="50"/>
      <c r="Q259" s="49"/>
      <c r="R259" s="49"/>
      <c r="S259" s="49"/>
      <c r="T259" s="52"/>
      <c r="U259" s="49"/>
    </row>
    <row r="260" spans="13:21">
      <c r="M260" s="49"/>
      <c r="N260" s="51"/>
      <c r="O260" s="49"/>
      <c r="P260" s="50"/>
      <c r="Q260" s="49"/>
      <c r="R260" s="49"/>
      <c r="S260" s="49"/>
      <c r="T260" s="52"/>
      <c r="U260" s="49"/>
    </row>
    <row r="261" spans="13:21">
      <c r="M261" s="49"/>
      <c r="N261" s="51"/>
      <c r="O261" s="49"/>
      <c r="P261" s="50"/>
      <c r="Q261" s="49"/>
      <c r="R261" s="49"/>
      <c r="S261" s="49"/>
      <c r="T261" s="52"/>
      <c r="U261" s="49"/>
    </row>
    <row r="262" spans="13:21">
      <c r="M262" s="49"/>
      <c r="N262" s="51"/>
      <c r="O262" s="49"/>
      <c r="P262" s="50"/>
      <c r="Q262" s="49"/>
      <c r="R262" s="49"/>
      <c r="S262" s="49"/>
      <c r="T262" s="52"/>
      <c r="U262" s="49"/>
    </row>
    <row r="263" spans="13:21">
      <c r="M263" s="49"/>
      <c r="N263" s="51"/>
      <c r="O263" s="49"/>
      <c r="P263" s="50"/>
      <c r="Q263" s="49"/>
      <c r="R263" s="49"/>
      <c r="S263" s="49"/>
      <c r="T263" s="52"/>
      <c r="U263" s="49"/>
    </row>
    <row r="264" spans="13:21">
      <c r="M264" s="49"/>
      <c r="N264" s="51"/>
      <c r="O264" s="49"/>
      <c r="P264" s="50"/>
      <c r="Q264" s="49"/>
      <c r="R264" s="49"/>
      <c r="S264" s="49"/>
      <c r="T264" s="52"/>
      <c r="U264" s="49"/>
    </row>
    <row r="265" spans="13:21">
      <c r="M265" s="49"/>
      <c r="N265" s="51"/>
      <c r="O265" s="49"/>
      <c r="P265" s="50"/>
      <c r="Q265" s="49"/>
      <c r="R265" s="49"/>
      <c r="S265" s="49"/>
      <c r="T265" s="52"/>
      <c r="U265" s="49"/>
    </row>
    <row r="266" spans="13:21">
      <c r="M266" s="49"/>
      <c r="N266" s="51"/>
      <c r="O266" s="49"/>
      <c r="P266" s="50"/>
      <c r="Q266" s="49"/>
      <c r="R266" s="49"/>
      <c r="S266" s="49"/>
      <c r="T266" s="52"/>
      <c r="U266" s="49"/>
    </row>
    <row r="267" spans="13:21">
      <c r="M267" s="49"/>
      <c r="N267" s="51"/>
      <c r="O267" s="49"/>
      <c r="P267" s="50"/>
      <c r="Q267" s="49"/>
      <c r="R267" s="49"/>
      <c r="S267" s="49"/>
      <c r="T267" s="52"/>
      <c r="U267" s="49"/>
    </row>
    <row r="268" spans="13:21">
      <c r="M268" s="49"/>
      <c r="N268" s="51"/>
      <c r="O268" s="49"/>
      <c r="P268" s="50"/>
      <c r="Q268" s="49"/>
      <c r="R268" s="49"/>
      <c r="S268" s="49"/>
      <c r="T268" s="52"/>
      <c r="U268" s="49"/>
    </row>
    <row r="269" spans="13:21">
      <c r="M269" s="49"/>
      <c r="N269" s="51"/>
      <c r="O269" s="49"/>
      <c r="P269" s="50"/>
      <c r="Q269" s="49"/>
      <c r="R269" s="49"/>
      <c r="S269" s="49"/>
      <c r="T269" s="52"/>
      <c r="U269" s="49"/>
    </row>
    <row r="270" spans="13:21">
      <c r="M270" s="49"/>
      <c r="N270" s="51"/>
      <c r="O270" s="49"/>
      <c r="P270" s="50"/>
      <c r="Q270" s="49"/>
      <c r="R270" s="49"/>
      <c r="S270" s="49"/>
      <c r="T270" s="52"/>
      <c r="U270" s="49"/>
    </row>
    <row r="271" spans="13:21">
      <c r="M271" s="49"/>
      <c r="N271" s="51"/>
      <c r="O271" s="49"/>
      <c r="P271" s="50"/>
      <c r="Q271" s="49"/>
      <c r="R271" s="49"/>
      <c r="S271" s="49"/>
      <c r="T271" s="52"/>
      <c r="U271" s="49"/>
    </row>
    <row r="272" spans="13:21">
      <c r="M272" s="49"/>
      <c r="N272" s="51"/>
      <c r="O272" s="49"/>
      <c r="P272" s="50"/>
      <c r="Q272" s="49"/>
      <c r="R272" s="49"/>
      <c r="S272" s="49"/>
      <c r="T272" s="52"/>
      <c r="U272" s="49"/>
    </row>
    <row r="273" spans="13:21">
      <c r="M273" s="49"/>
      <c r="N273" s="51"/>
      <c r="O273" s="49"/>
      <c r="P273" s="50"/>
      <c r="Q273" s="49"/>
      <c r="R273" s="49"/>
      <c r="S273" s="49"/>
      <c r="T273" s="52"/>
      <c r="U273" s="49"/>
    </row>
    <row r="274" spans="13:21">
      <c r="M274" s="49"/>
      <c r="N274" s="51"/>
      <c r="O274" s="49"/>
      <c r="P274" s="50"/>
      <c r="Q274" s="49"/>
      <c r="R274" s="49"/>
      <c r="S274" s="49"/>
      <c r="T274" s="52"/>
      <c r="U274" s="49"/>
    </row>
    <row r="275" spans="13:21">
      <c r="M275" s="49"/>
      <c r="N275" s="51"/>
      <c r="O275" s="49"/>
      <c r="P275" s="50"/>
      <c r="Q275" s="49"/>
      <c r="R275" s="49"/>
      <c r="S275" s="49"/>
      <c r="T275" s="52"/>
      <c r="U275" s="49"/>
    </row>
    <row r="276" spans="13:21">
      <c r="M276" s="49"/>
      <c r="N276" s="51"/>
      <c r="O276" s="49"/>
      <c r="P276" s="50"/>
      <c r="Q276" s="49"/>
      <c r="R276" s="49"/>
      <c r="S276" s="49"/>
      <c r="T276" s="52"/>
      <c r="U276" s="49"/>
    </row>
    <row r="277" spans="13:21">
      <c r="M277" s="49"/>
      <c r="N277" s="51"/>
      <c r="O277" s="49"/>
      <c r="P277" s="50"/>
      <c r="Q277" s="49"/>
      <c r="R277" s="49"/>
      <c r="S277" s="49"/>
      <c r="T277" s="52"/>
      <c r="U277" s="49"/>
    </row>
    <row r="278" spans="13:21">
      <c r="M278" s="49"/>
      <c r="N278" s="51"/>
      <c r="O278" s="49"/>
      <c r="P278" s="50"/>
      <c r="Q278" s="49"/>
      <c r="R278" s="49"/>
      <c r="S278" s="49"/>
      <c r="T278" s="52"/>
      <c r="U278" s="49"/>
    </row>
    <row r="279" spans="13:21">
      <c r="M279" s="49"/>
      <c r="N279" s="51"/>
      <c r="O279" s="49"/>
      <c r="P279" s="50"/>
      <c r="Q279" s="49"/>
      <c r="R279" s="49"/>
      <c r="S279" s="49"/>
      <c r="T279" s="52"/>
      <c r="U279" s="49"/>
    </row>
    <row r="280" spans="13:21">
      <c r="M280" s="49"/>
      <c r="N280" s="51"/>
      <c r="O280" s="49"/>
      <c r="P280" s="50"/>
      <c r="Q280" s="49"/>
      <c r="R280" s="49"/>
      <c r="S280" s="49"/>
      <c r="T280" s="52"/>
      <c r="U280" s="49"/>
    </row>
    <row r="281" spans="13:21">
      <c r="M281" s="49"/>
      <c r="N281" s="51"/>
      <c r="O281" s="49"/>
      <c r="P281" s="50"/>
      <c r="Q281" s="49"/>
      <c r="R281" s="49"/>
      <c r="S281" s="49"/>
      <c r="T281" s="52"/>
      <c r="U281" s="49"/>
    </row>
    <row r="282" spans="13:21">
      <c r="M282" s="49"/>
      <c r="N282" s="51"/>
      <c r="O282" s="49"/>
      <c r="P282" s="50"/>
      <c r="Q282" s="49"/>
      <c r="R282" s="49"/>
      <c r="S282" s="49"/>
      <c r="T282" s="52"/>
      <c r="U282" s="49"/>
    </row>
    <row r="283" spans="13:21">
      <c r="M283" s="49"/>
      <c r="N283" s="51"/>
      <c r="O283" s="49"/>
      <c r="P283" s="50"/>
      <c r="Q283" s="49"/>
      <c r="R283" s="49"/>
      <c r="S283" s="49"/>
      <c r="T283" s="52"/>
      <c r="U283" s="49"/>
    </row>
    <row r="284" spans="13:21">
      <c r="M284" s="49"/>
      <c r="N284" s="51"/>
      <c r="O284" s="49"/>
      <c r="P284" s="50"/>
      <c r="Q284" s="49"/>
      <c r="R284" s="49"/>
      <c r="S284" s="49"/>
      <c r="T284" s="52"/>
      <c r="U284" s="49"/>
    </row>
    <row r="285" spans="13:21">
      <c r="M285" s="49"/>
      <c r="N285" s="51"/>
      <c r="O285" s="49"/>
      <c r="P285" s="50"/>
      <c r="Q285" s="49"/>
      <c r="R285" s="49"/>
      <c r="S285" s="49"/>
      <c r="T285" s="52"/>
      <c r="U285" s="49"/>
    </row>
    <row r="286" spans="13:21">
      <c r="M286" s="49"/>
      <c r="N286" s="51"/>
      <c r="O286" s="49"/>
      <c r="P286" s="50"/>
      <c r="Q286" s="49"/>
      <c r="R286" s="49"/>
      <c r="S286" s="49"/>
      <c r="T286" s="52"/>
      <c r="U286" s="49"/>
    </row>
    <row r="287" spans="13:21">
      <c r="M287" s="49"/>
      <c r="N287" s="51"/>
      <c r="O287" s="49"/>
      <c r="P287" s="50"/>
      <c r="Q287" s="49"/>
      <c r="R287" s="49"/>
      <c r="S287" s="49"/>
      <c r="T287" s="52"/>
      <c r="U287" s="49"/>
    </row>
    <row r="288" spans="13:21">
      <c r="M288" s="49"/>
      <c r="N288" s="51"/>
      <c r="O288" s="49"/>
      <c r="P288" s="50"/>
      <c r="Q288" s="49"/>
      <c r="R288" s="49"/>
      <c r="S288" s="49"/>
      <c r="T288" s="52"/>
      <c r="U288" s="49"/>
    </row>
    <row r="289" spans="13:21">
      <c r="M289" s="49"/>
      <c r="N289" s="51"/>
      <c r="O289" s="49"/>
      <c r="P289" s="50"/>
      <c r="Q289" s="49"/>
      <c r="R289" s="49"/>
      <c r="S289" s="49"/>
      <c r="T289" s="52"/>
      <c r="U289" s="49"/>
    </row>
    <row r="290" spans="13:21">
      <c r="M290" s="49"/>
      <c r="N290" s="51"/>
      <c r="O290" s="49"/>
      <c r="P290" s="50"/>
      <c r="Q290" s="49"/>
      <c r="R290" s="49"/>
      <c r="S290" s="49"/>
      <c r="T290" s="52"/>
      <c r="U290" s="49"/>
    </row>
    <row r="291" spans="13:21">
      <c r="M291" s="49"/>
      <c r="N291" s="51"/>
      <c r="O291" s="49"/>
      <c r="P291" s="50"/>
      <c r="Q291" s="49"/>
      <c r="R291" s="49"/>
      <c r="S291" s="49"/>
      <c r="T291" s="52"/>
      <c r="U291" s="49"/>
    </row>
    <row r="292" spans="13:21">
      <c r="M292" s="49"/>
      <c r="N292" s="51"/>
      <c r="O292" s="49"/>
      <c r="P292" s="50"/>
      <c r="Q292" s="49"/>
      <c r="R292" s="49"/>
      <c r="S292" s="49"/>
      <c r="T292" s="52"/>
      <c r="U292" s="49"/>
    </row>
    <row r="293" spans="13:21">
      <c r="M293" s="49"/>
      <c r="N293" s="51"/>
      <c r="O293" s="49"/>
      <c r="P293" s="50"/>
      <c r="Q293" s="49"/>
      <c r="R293" s="49"/>
      <c r="S293" s="49"/>
      <c r="T293" s="52"/>
      <c r="U293" s="49"/>
    </row>
    <row r="294" spans="13:21">
      <c r="M294" s="49"/>
      <c r="N294" s="51"/>
      <c r="O294" s="49"/>
      <c r="P294" s="50"/>
      <c r="Q294" s="49"/>
      <c r="R294" s="49"/>
      <c r="S294" s="49"/>
      <c r="T294" s="52"/>
      <c r="U294" s="49"/>
    </row>
    <row r="295" spans="13:21">
      <c r="M295" s="49"/>
      <c r="N295" s="51"/>
      <c r="O295" s="49"/>
      <c r="P295" s="50"/>
      <c r="Q295" s="49"/>
      <c r="R295" s="49"/>
      <c r="S295" s="49"/>
      <c r="T295" s="52"/>
      <c r="U295" s="49"/>
    </row>
    <row r="296" spans="13:21">
      <c r="M296" s="49"/>
      <c r="N296" s="51"/>
      <c r="O296" s="49"/>
      <c r="P296" s="50"/>
      <c r="Q296" s="49"/>
      <c r="R296" s="49"/>
      <c r="S296" s="49"/>
      <c r="T296" s="52"/>
      <c r="U296" s="49"/>
    </row>
    <row r="297" spans="13:21">
      <c r="M297" s="49"/>
      <c r="N297" s="51"/>
      <c r="O297" s="49"/>
      <c r="P297" s="50"/>
      <c r="Q297" s="49"/>
      <c r="R297" s="49"/>
      <c r="S297" s="49"/>
      <c r="T297" s="52"/>
      <c r="U297" s="49"/>
    </row>
    <row r="298" spans="13:21">
      <c r="M298" s="49"/>
      <c r="N298" s="51"/>
      <c r="O298" s="49"/>
      <c r="P298" s="50"/>
      <c r="Q298" s="49"/>
      <c r="R298" s="49"/>
      <c r="S298" s="49"/>
      <c r="T298" s="52"/>
      <c r="U298" s="49"/>
    </row>
    <row r="299" spans="13:21">
      <c r="M299" s="49"/>
      <c r="N299" s="51"/>
      <c r="O299" s="49"/>
      <c r="P299" s="50"/>
      <c r="Q299" s="49"/>
      <c r="R299" s="49"/>
      <c r="S299" s="49"/>
      <c r="T299" s="52"/>
      <c r="U299" s="49"/>
    </row>
    <row r="300" spans="13:21">
      <c r="M300" s="49"/>
      <c r="N300" s="51"/>
      <c r="O300" s="49"/>
      <c r="P300" s="50"/>
      <c r="Q300" s="49"/>
      <c r="R300" s="49"/>
      <c r="S300" s="49"/>
      <c r="T300" s="52"/>
      <c r="U300" s="49"/>
    </row>
    <row r="301" spans="13:21">
      <c r="M301" s="49"/>
      <c r="N301" s="51"/>
      <c r="O301" s="49"/>
      <c r="P301" s="50"/>
      <c r="Q301" s="49"/>
      <c r="R301" s="49"/>
      <c r="S301" s="49"/>
      <c r="T301" s="52"/>
      <c r="U301" s="49"/>
    </row>
    <row r="302" spans="13:21">
      <c r="M302" s="49"/>
      <c r="N302" s="51"/>
      <c r="O302" s="49"/>
      <c r="P302" s="50"/>
      <c r="Q302" s="49"/>
      <c r="R302" s="49"/>
      <c r="S302" s="49"/>
      <c r="T302" s="52"/>
      <c r="U302" s="49"/>
    </row>
    <row r="303" spans="13:21">
      <c r="M303" s="49"/>
      <c r="N303" s="51"/>
      <c r="O303" s="49"/>
      <c r="P303" s="50"/>
      <c r="Q303" s="49"/>
      <c r="R303" s="49"/>
      <c r="S303" s="49"/>
      <c r="T303" s="52"/>
      <c r="U303" s="49"/>
    </row>
    <row r="304" spans="13:21">
      <c r="M304" s="49"/>
      <c r="N304" s="51"/>
      <c r="O304" s="49"/>
      <c r="P304" s="50"/>
      <c r="Q304" s="49"/>
      <c r="R304" s="49"/>
      <c r="S304" s="49"/>
      <c r="T304" s="52"/>
      <c r="U304" s="49"/>
    </row>
    <row r="305" spans="13:21">
      <c r="M305" s="49"/>
      <c r="N305" s="51"/>
      <c r="O305" s="49"/>
      <c r="P305" s="50"/>
      <c r="Q305" s="49"/>
      <c r="R305" s="49"/>
      <c r="S305" s="49"/>
      <c r="T305" s="52"/>
      <c r="U305" s="49"/>
    </row>
    <row r="306" spans="13:21">
      <c r="M306" s="49"/>
      <c r="N306" s="51"/>
      <c r="O306" s="49"/>
      <c r="P306" s="50"/>
      <c r="Q306" s="49"/>
      <c r="R306" s="49"/>
      <c r="S306" s="49"/>
      <c r="T306" s="52"/>
      <c r="U306" s="49"/>
    </row>
    <row r="307" spans="13:21">
      <c r="M307" s="49"/>
      <c r="N307" s="51"/>
      <c r="O307" s="49"/>
      <c r="P307" s="50"/>
      <c r="Q307" s="49"/>
      <c r="R307" s="49"/>
      <c r="S307" s="49"/>
      <c r="T307" s="52"/>
      <c r="U307" s="49"/>
    </row>
    <row r="308" spans="13:21">
      <c r="M308" s="49"/>
      <c r="N308" s="51"/>
      <c r="O308" s="49"/>
      <c r="P308" s="50"/>
      <c r="Q308" s="49"/>
      <c r="R308" s="49"/>
      <c r="S308" s="49"/>
      <c r="T308" s="52"/>
      <c r="U308" s="49"/>
    </row>
    <row r="309" spans="13:21">
      <c r="M309" s="49"/>
      <c r="N309" s="51"/>
      <c r="O309" s="49"/>
      <c r="P309" s="50"/>
      <c r="Q309" s="49"/>
      <c r="R309" s="49"/>
      <c r="S309" s="49"/>
      <c r="T309" s="52"/>
      <c r="U309" s="49"/>
    </row>
    <row r="310" spans="13:21">
      <c r="M310" s="49"/>
      <c r="N310" s="51"/>
      <c r="O310" s="49"/>
      <c r="P310" s="50"/>
      <c r="Q310" s="49"/>
      <c r="R310" s="49"/>
      <c r="S310" s="49"/>
      <c r="T310" s="52"/>
      <c r="U310" s="49"/>
    </row>
    <row r="311" spans="13:21">
      <c r="M311" s="49"/>
      <c r="N311" s="51"/>
      <c r="O311" s="49"/>
      <c r="P311" s="50"/>
      <c r="Q311" s="49"/>
      <c r="R311" s="49"/>
      <c r="S311" s="49"/>
      <c r="T311" s="52"/>
      <c r="U311" s="49"/>
    </row>
    <row r="312" spans="13:21">
      <c r="M312" s="49"/>
      <c r="N312" s="51"/>
      <c r="O312" s="49"/>
      <c r="P312" s="50"/>
      <c r="Q312" s="49"/>
      <c r="R312" s="49"/>
      <c r="S312" s="49"/>
      <c r="T312" s="52"/>
      <c r="U312" s="49"/>
    </row>
    <row r="313" spans="13:21">
      <c r="M313" s="49"/>
      <c r="N313" s="51"/>
      <c r="O313" s="49"/>
      <c r="P313" s="50"/>
      <c r="Q313" s="49"/>
      <c r="R313" s="49"/>
      <c r="S313" s="49"/>
      <c r="T313" s="52"/>
      <c r="U313" s="49"/>
    </row>
    <row r="314" spans="13:21">
      <c r="M314" s="49"/>
      <c r="N314" s="51"/>
      <c r="O314" s="49"/>
      <c r="P314" s="50"/>
      <c r="Q314" s="49"/>
      <c r="R314" s="49"/>
      <c r="S314" s="49"/>
      <c r="T314" s="52"/>
      <c r="U314" s="49"/>
    </row>
    <row r="315" spans="13:21">
      <c r="M315" s="49"/>
      <c r="N315" s="51"/>
      <c r="O315" s="49"/>
      <c r="P315" s="50"/>
      <c r="Q315" s="49"/>
      <c r="R315" s="49"/>
      <c r="S315" s="49"/>
      <c r="T315" s="52"/>
      <c r="U315" s="49"/>
    </row>
    <row r="316" spans="13:21">
      <c r="M316" s="49"/>
      <c r="N316" s="51"/>
      <c r="O316" s="49"/>
      <c r="P316" s="50"/>
      <c r="Q316" s="49"/>
      <c r="R316" s="49"/>
      <c r="S316" s="49"/>
      <c r="T316" s="52"/>
      <c r="U316" s="49"/>
    </row>
    <row r="317" spans="13:21">
      <c r="M317" s="49"/>
      <c r="N317" s="51"/>
      <c r="O317" s="49"/>
      <c r="P317" s="50"/>
      <c r="Q317" s="49"/>
      <c r="R317" s="49"/>
      <c r="S317" s="49"/>
      <c r="T317" s="52"/>
      <c r="U317" s="49"/>
    </row>
    <row r="318" spans="13:21">
      <c r="M318" s="49"/>
      <c r="N318" s="51"/>
      <c r="O318" s="49"/>
      <c r="P318" s="50"/>
      <c r="Q318" s="49"/>
      <c r="R318" s="49"/>
      <c r="S318" s="49"/>
      <c r="T318" s="52"/>
      <c r="U318" s="49"/>
    </row>
    <row r="319" spans="13:21">
      <c r="M319" s="49"/>
      <c r="N319" s="51"/>
      <c r="O319" s="49"/>
      <c r="P319" s="50"/>
      <c r="Q319" s="49"/>
      <c r="R319" s="49"/>
      <c r="S319" s="49"/>
      <c r="T319" s="52"/>
      <c r="U319" s="49"/>
    </row>
    <row r="320" spans="13:21">
      <c r="M320" s="49"/>
      <c r="N320" s="51"/>
      <c r="O320" s="49"/>
      <c r="P320" s="50"/>
      <c r="Q320" s="49"/>
      <c r="R320" s="49"/>
      <c r="S320" s="49"/>
      <c r="T320" s="52"/>
      <c r="U320" s="49"/>
    </row>
    <row r="321" spans="13:21">
      <c r="M321" s="49"/>
      <c r="N321" s="51"/>
      <c r="O321" s="49"/>
      <c r="P321" s="50"/>
      <c r="Q321" s="49"/>
      <c r="R321" s="49"/>
      <c r="S321" s="49"/>
      <c r="T321" s="52"/>
      <c r="U321" s="49"/>
    </row>
    <row r="322" spans="13:21">
      <c r="M322" s="49"/>
      <c r="N322" s="51"/>
      <c r="O322" s="49"/>
      <c r="P322" s="50"/>
      <c r="Q322" s="49"/>
      <c r="R322" s="49"/>
      <c r="S322" s="49"/>
      <c r="T322" s="52"/>
      <c r="U322" s="49"/>
    </row>
    <row r="323" spans="13:21">
      <c r="M323" s="49"/>
      <c r="N323" s="51"/>
      <c r="O323" s="49"/>
      <c r="P323" s="50"/>
      <c r="Q323" s="49"/>
      <c r="R323" s="49"/>
      <c r="S323" s="49"/>
      <c r="T323" s="52"/>
      <c r="U323" s="49"/>
    </row>
    <row r="324" spans="13:21">
      <c r="M324" s="49"/>
      <c r="N324" s="51"/>
      <c r="O324" s="49"/>
      <c r="P324" s="50"/>
      <c r="Q324" s="49"/>
      <c r="R324" s="49"/>
      <c r="S324" s="49"/>
      <c r="T324" s="52"/>
      <c r="U324" s="49"/>
    </row>
    <row r="325" spans="13:21">
      <c r="M325" s="49"/>
      <c r="N325" s="51"/>
      <c r="O325" s="49"/>
      <c r="P325" s="50"/>
      <c r="Q325" s="49"/>
      <c r="R325" s="49"/>
      <c r="S325" s="49"/>
      <c r="T325" s="52"/>
      <c r="U325" s="49"/>
    </row>
    <row r="326" spans="13:21">
      <c r="M326" s="49"/>
      <c r="N326" s="51"/>
      <c r="O326" s="49"/>
      <c r="P326" s="50"/>
      <c r="Q326" s="49"/>
      <c r="R326" s="49"/>
      <c r="S326" s="49"/>
      <c r="T326" s="52"/>
      <c r="U326" s="49"/>
    </row>
    <row r="327" spans="13:21">
      <c r="M327" s="49"/>
      <c r="N327" s="51"/>
      <c r="O327" s="49"/>
      <c r="P327" s="50"/>
      <c r="Q327" s="49"/>
      <c r="R327" s="49"/>
      <c r="S327" s="49"/>
      <c r="T327" s="52"/>
      <c r="U327" s="49"/>
    </row>
    <row r="328" spans="13:21">
      <c r="M328" s="49"/>
      <c r="N328" s="51"/>
      <c r="O328" s="49"/>
      <c r="P328" s="50"/>
      <c r="Q328" s="49"/>
      <c r="R328" s="49"/>
      <c r="S328" s="49"/>
      <c r="T328" s="52"/>
      <c r="U328" s="49"/>
    </row>
    <row r="329" spans="13:21">
      <c r="M329" s="49"/>
      <c r="N329" s="51"/>
      <c r="O329" s="49"/>
      <c r="P329" s="50"/>
      <c r="Q329" s="49"/>
      <c r="R329" s="49"/>
      <c r="S329" s="49"/>
      <c r="T329" s="52"/>
      <c r="U329" s="49"/>
    </row>
    <row r="330" spans="13:21">
      <c r="M330" s="49"/>
      <c r="N330" s="51"/>
      <c r="O330" s="49"/>
      <c r="P330" s="50"/>
      <c r="Q330" s="49"/>
      <c r="R330" s="49"/>
      <c r="S330" s="49"/>
      <c r="T330" s="52"/>
      <c r="U330" s="49"/>
    </row>
    <row r="331" spans="13:21">
      <c r="M331" s="49"/>
      <c r="N331" s="51"/>
      <c r="O331" s="49"/>
      <c r="P331" s="50"/>
      <c r="Q331" s="49"/>
      <c r="R331" s="49"/>
      <c r="S331" s="49"/>
      <c r="T331" s="52"/>
      <c r="U331" s="49"/>
    </row>
    <row r="332" spans="13:21">
      <c r="M332" s="49"/>
      <c r="N332" s="51"/>
      <c r="O332" s="49"/>
      <c r="P332" s="50"/>
      <c r="Q332" s="49"/>
      <c r="R332" s="49"/>
      <c r="S332" s="49"/>
      <c r="T332" s="52"/>
      <c r="U332" s="49"/>
    </row>
    <row r="333" spans="13:21">
      <c r="M333" s="49"/>
      <c r="N333" s="51"/>
      <c r="O333" s="49"/>
      <c r="P333" s="50"/>
      <c r="Q333" s="49"/>
      <c r="R333" s="49"/>
      <c r="S333" s="49"/>
      <c r="T333" s="52"/>
      <c r="U333" s="49"/>
    </row>
    <row r="334" spans="13:21">
      <c r="M334" s="49"/>
      <c r="N334" s="51"/>
      <c r="O334" s="49"/>
      <c r="P334" s="50"/>
      <c r="Q334" s="49"/>
      <c r="R334" s="49"/>
      <c r="S334" s="49"/>
      <c r="T334" s="52"/>
      <c r="U334" s="49"/>
    </row>
    <row r="335" spans="13:21">
      <c r="M335" s="49"/>
      <c r="N335" s="51"/>
      <c r="O335" s="49"/>
      <c r="P335" s="50"/>
      <c r="Q335" s="49"/>
      <c r="R335" s="49"/>
      <c r="S335" s="49"/>
      <c r="T335" s="52"/>
      <c r="U335" s="49"/>
    </row>
    <row r="336" spans="13:21">
      <c r="M336" s="49"/>
      <c r="N336" s="51"/>
      <c r="O336" s="49"/>
      <c r="P336" s="50"/>
      <c r="Q336" s="49"/>
      <c r="R336" s="49"/>
      <c r="S336" s="49"/>
      <c r="T336" s="52"/>
      <c r="U336" s="49"/>
    </row>
    <row r="337" spans="13:21">
      <c r="M337" s="49"/>
      <c r="N337" s="51"/>
      <c r="O337" s="49"/>
      <c r="P337" s="50"/>
      <c r="Q337" s="49"/>
      <c r="R337" s="49"/>
      <c r="S337" s="49"/>
      <c r="T337" s="52"/>
      <c r="U337" s="49"/>
    </row>
    <row r="338" spans="13:21">
      <c r="M338" s="49"/>
      <c r="N338" s="51"/>
      <c r="O338" s="49"/>
      <c r="P338" s="50"/>
      <c r="Q338" s="49"/>
      <c r="R338" s="49"/>
      <c r="S338" s="49"/>
      <c r="T338" s="52"/>
      <c r="U338" s="49"/>
    </row>
    <row r="339" spans="13:21">
      <c r="M339" s="49"/>
      <c r="N339" s="51"/>
      <c r="O339" s="49"/>
      <c r="P339" s="50"/>
      <c r="Q339" s="49"/>
      <c r="R339" s="49"/>
      <c r="S339" s="49"/>
      <c r="T339" s="52"/>
      <c r="U339" s="49"/>
    </row>
    <row r="340" spans="13:21">
      <c r="M340" s="49"/>
      <c r="N340" s="51"/>
      <c r="O340" s="49"/>
      <c r="P340" s="50"/>
      <c r="Q340" s="49"/>
      <c r="R340" s="49"/>
      <c r="S340" s="49"/>
      <c r="T340" s="52"/>
      <c r="U340" s="49"/>
    </row>
    <row r="341" spans="13:21">
      <c r="M341" s="49"/>
      <c r="N341" s="51"/>
      <c r="O341" s="49"/>
      <c r="P341" s="50"/>
      <c r="Q341" s="49"/>
      <c r="R341" s="49"/>
      <c r="S341" s="49"/>
      <c r="T341" s="52"/>
      <c r="U341" s="49"/>
    </row>
    <row r="342" spans="13:21">
      <c r="M342" s="49"/>
      <c r="N342" s="51"/>
      <c r="O342" s="49"/>
      <c r="P342" s="50"/>
      <c r="Q342" s="49"/>
      <c r="R342" s="49"/>
      <c r="S342" s="49"/>
      <c r="T342" s="52"/>
      <c r="U342" s="49"/>
    </row>
    <row r="343" spans="13:21">
      <c r="M343" s="49"/>
      <c r="N343" s="51"/>
      <c r="O343" s="49"/>
      <c r="P343" s="50"/>
      <c r="Q343" s="49"/>
      <c r="R343" s="49"/>
      <c r="S343" s="49"/>
      <c r="T343" s="52"/>
      <c r="U343" s="49"/>
    </row>
    <row r="344" spans="13:21">
      <c r="M344" s="49"/>
      <c r="N344" s="51"/>
      <c r="O344" s="49"/>
      <c r="P344" s="50"/>
      <c r="Q344" s="49"/>
      <c r="R344" s="49"/>
      <c r="S344" s="49"/>
      <c r="T344" s="52"/>
      <c r="U344" s="49"/>
    </row>
    <row r="345" spans="13:21">
      <c r="M345" s="49"/>
      <c r="N345" s="51"/>
      <c r="O345" s="49"/>
      <c r="P345" s="50"/>
      <c r="Q345" s="49"/>
      <c r="R345" s="49"/>
      <c r="S345" s="49"/>
      <c r="T345" s="52"/>
      <c r="U345" s="49"/>
    </row>
    <row r="346" spans="13:21">
      <c r="M346" s="49"/>
      <c r="N346" s="51"/>
      <c r="O346" s="49"/>
      <c r="P346" s="50"/>
      <c r="Q346" s="49"/>
      <c r="R346" s="49"/>
      <c r="S346" s="49"/>
      <c r="T346" s="52"/>
      <c r="U346" s="49"/>
    </row>
    <row r="347" spans="13:21">
      <c r="M347" s="49"/>
      <c r="N347" s="51"/>
      <c r="O347" s="49"/>
      <c r="P347" s="50"/>
      <c r="Q347" s="49"/>
      <c r="R347" s="49"/>
      <c r="S347" s="49"/>
      <c r="T347" s="52"/>
      <c r="U347" s="49"/>
    </row>
    <row r="348" spans="13:21">
      <c r="M348" s="49"/>
      <c r="N348" s="51"/>
      <c r="O348" s="49"/>
      <c r="P348" s="50"/>
      <c r="Q348" s="49"/>
      <c r="R348" s="49"/>
      <c r="S348" s="49"/>
      <c r="T348" s="52"/>
      <c r="U348" s="49"/>
    </row>
    <row r="349" spans="13:21">
      <c r="M349" s="49"/>
      <c r="N349" s="51"/>
      <c r="O349" s="49"/>
      <c r="P349" s="50"/>
      <c r="Q349" s="49"/>
      <c r="R349" s="49"/>
      <c r="S349" s="49"/>
      <c r="T349" s="52"/>
      <c r="U349" s="49"/>
    </row>
    <row r="350" spans="13:21">
      <c r="M350" s="49"/>
      <c r="N350" s="51"/>
      <c r="O350" s="49"/>
      <c r="P350" s="50"/>
      <c r="Q350" s="49"/>
      <c r="R350" s="49"/>
      <c r="S350" s="49"/>
      <c r="T350" s="52"/>
      <c r="U350" s="49"/>
    </row>
    <row r="351" spans="13:21">
      <c r="M351" s="49"/>
      <c r="N351" s="51"/>
      <c r="O351" s="49"/>
      <c r="P351" s="50"/>
      <c r="Q351" s="49"/>
      <c r="R351" s="49"/>
      <c r="S351" s="49"/>
      <c r="T351" s="52"/>
      <c r="U351" s="49"/>
    </row>
    <row r="352" spans="13:21">
      <c r="M352" s="49"/>
      <c r="N352" s="51"/>
      <c r="O352" s="49"/>
      <c r="P352" s="50"/>
      <c r="Q352" s="49"/>
      <c r="R352" s="49"/>
      <c r="S352" s="49"/>
      <c r="T352" s="52"/>
      <c r="U352" s="49"/>
    </row>
    <row r="353" spans="13:21">
      <c r="M353" s="49"/>
      <c r="N353" s="51"/>
      <c r="O353" s="49"/>
      <c r="P353" s="50"/>
      <c r="Q353" s="49"/>
      <c r="R353" s="49"/>
      <c r="S353" s="49"/>
      <c r="T353" s="52"/>
      <c r="U353" s="49"/>
    </row>
    <row r="354" spans="13:21">
      <c r="M354" s="49"/>
      <c r="N354" s="51"/>
      <c r="O354" s="49"/>
      <c r="P354" s="50"/>
      <c r="Q354" s="49"/>
      <c r="R354" s="49"/>
      <c r="S354" s="49"/>
      <c r="T354" s="52"/>
      <c r="U354" s="49"/>
    </row>
    <row r="355" spans="13:21">
      <c r="M355" s="49"/>
      <c r="N355" s="51"/>
      <c r="O355" s="49"/>
      <c r="P355" s="50"/>
      <c r="Q355" s="49"/>
      <c r="R355" s="49"/>
      <c r="S355" s="49"/>
      <c r="T355" s="52"/>
      <c r="U355" s="49"/>
    </row>
    <row r="356" spans="13:21">
      <c r="M356" s="49"/>
      <c r="N356" s="51"/>
      <c r="O356" s="49"/>
      <c r="P356" s="50"/>
      <c r="Q356" s="49"/>
      <c r="R356" s="49"/>
      <c r="S356" s="49"/>
      <c r="T356" s="52"/>
      <c r="U356" s="49"/>
    </row>
    <row r="357" spans="13:21">
      <c r="M357" s="49"/>
      <c r="N357" s="51"/>
      <c r="O357" s="49"/>
      <c r="P357" s="50"/>
      <c r="Q357" s="49"/>
      <c r="R357" s="49"/>
      <c r="S357" s="49"/>
      <c r="T357" s="52"/>
      <c r="U357" s="49"/>
    </row>
    <row r="358" spans="13:21">
      <c r="M358" s="49"/>
      <c r="N358" s="51"/>
      <c r="O358" s="49"/>
      <c r="P358" s="50"/>
      <c r="Q358" s="49"/>
      <c r="R358" s="49"/>
      <c r="S358" s="49"/>
      <c r="T358" s="52"/>
      <c r="U358" s="49"/>
    </row>
    <row r="359" spans="13:21">
      <c r="M359" s="49"/>
      <c r="N359" s="51"/>
      <c r="O359" s="49"/>
      <c r="P359" s="50"/>
      <c r="Q359" s="49"/>
      <c r="R359" s="49"/>
      <c r="S359" s="49"/>
      <c r="T359" s="52"/>
      <c r="U359" s="49"/>
    </row>
    <row r="360" spans="13:21">
      <c r="M360" s="49"/>
      <c r="N360" s="51"/>
      <c r="O360" s="49"/>
      <c r="P360" s="50"/>
      <c r="Q360" s="49"/>
      <c r="R360" s="49"/>
      <c r="S360" s="49"/>
      <c r="T360" s="52"/>
      <c r="U360" s="49"/>
    </row>
    <row r="361" spans="13:21">
      <c r="M361" s="49"/>
      <c r="N361" s="51"/>
      <c r="O361" s="49"/>
      <c r="P361" s="50"/>
      <c r="Q361" s="49"/>
      <c r="R361" s="49"/>
      <c r="S361" s="49"/>
      <c r="T361" s="52"/>
      <c r="U361" s="49"/>
    </row>
    <row r="362" spans="13:21">
      <c r="M362" s="49"/>
      <c r="N362" s="51"/>
      <c r="O362" s="49"/>
      <c r="P362" s="50"/>
      <c r="Q362" s="49"/>
      <c r="R362" s="49"/>
      <c r="S362" s="49"/>
      <c r="T362" s="52"/>
      <c r="U362" s="49"/>
    </row>
    <row r="363" spans="13:21">
      <c r="M363" s="49"/>
      <c r="N363" s="51"/>
      <c r="O363" s="49"/>
      <c r="P363" s="50"/>
      <c r="Q363" s="49"/>
      <c r="R363" s="49"/>
      <c r="S363" s="49"/>
      <c r="T363" s="52"/>
      <c r="U363" s="49"/>
    </row>
    <row r="364" spans="13:21">
      <c r="M364" s="49"/>
      <c r="N364" s="51"/>
      <c r="O364" s="49"/>
      <c r="P364" s="50"/>
      <c r="Q364" s="49"/>
      <c r="R364" s="49"/>
      <c r="S364" s="49"/>
      <c r="T364" s="52"/>
      <c r="U364" s="49"/>
    </row>
    <row r="365" spans="13:21">
      <c r="M365" s="49"/>
      <c r="N365" s="51"/>
      <c r="O365" s="49"/>
      <c r="P365" s="50"/>
      <c r="Q365" s="49"/>
      <c r="R365" s="49"/>
      <c r="S365" s="49"/>
      <c r="T365" s="52"/>
      <c r="U365" s="49"/>
    </row>
    <row r="366" spans="13:21">
      <c r="M366" s="49"/>
      <c r="N366" s="51"/>
      <c r="O366" s="49"/>
      <c r="P366" s="50"/>
      <c r="Q366" s="49"/>
      <c r="R366" s="49"/>
      <c r="S366" s="49"/>
      <c r="T366" s="52"/>
      <c r="U366" s="49"/>
    </row>
    <row r="367" spans="13:21">
      <c r="M367" s="49"/>
      <c r="N367" s="51"/>
      <c r="O367" s="49"/>
      <c r="P367" s="50"/>
      <c r="Q367" s="49"/>
      <c r="R367" s="49"/>
      <c r="S367" s="49"/>
      <c r="T367" s="52"/>
      <c r="U367" s="49"/>
    </row>
    <row r="368" spans="13:21">
      <c r="M368" s="49"/>
      <c r="N368" s="51"/>
      <c r="O368" s="49"/>
      <c r="P368" s="50"/>
      <c r="Q368" s="49"/>
      <c r="R368" s="49"/>
      <c r="S368" s="49"/>
      <c r="T368" s="52"/>
      <c r="U368" s="49"/>
    </row>
    <row r="369" spans="13:21">
      <c r="M369" s="49"/>
      <c r="N369" s="51"/>
      <c r="O369" s="49"/>
      <c r="P369" s="50"/>
      <c r="Q369" s="49"/>
      <c r="R369" s="49"/>
      <c r="S369" s="49"/>
      <c r="T369" s="52"/>
      <c r="U369" s="49"/>
    </row>
    <row r="370" spans="13:21">
      <c r="M370" s="49"/>
      <c r="N370" s="51"/>
      <c r="O370" s="49"/>
      <c r="P370" s="50"/>
      <c r="Q370" s="49"/>
      <c r="R370" s="49"/>
      <c r="S370" s="49"/>
      <c r="T370" s="52"/>
      <c r="U370" s="49"/>
    </row>
    <row r="371" spans="13:21">
      <c r="M371" s="49"/>
      <c r="N371" s="51"/>
      <c r="O371" s="49"/>
      <c r="P371" s="50"/>
      <c r="Q371" s="49"/>
      <c r="R371" s="49"/>
      <c r="S371" s="49"/>
      <c r="T371" s="52"/>
      <c r="U371" s="49"/>
    </row>
    <row r="372" spans="13:21">
      <c r="M372" s="49"/>
      <c r="N372" s="51"/>
      <c r="O372" s="49"/>
      <c r="P372" s="50"/>
      <c r="Q372" s="49"/>
      <c r="R372" s="49"/>
      <c r="S372" s="49"/>
      <c r="T372" s="52"/>
      <c r="U372" s="49"/>
    </row>
    <row r="373" spans="13:21">
      <c r="M373" s="49"/>
      <c r="N373" s="51"/>
      <c r="O373" s="49"/>
      <c r="P373" s="50"/>
      <c r="Q373" s="49"/>
      <c r="R373" s="49"/>
      <c r="S373" s="49"/>
      <c r="T373" s="52"/>
      <c r="U373" s="49"/>
    </row>
    <row r="374" spans="13:21">
      <c r="M374" s="49"/>
      <c r="N374" s="51"/>
      <c r="O374" s="49"/>
      <c r="P374" s="50"/>
      <c r="Q374" s="49"/>
      <c r="R374" s="49"/>
      <c r="S374" s="49"/>
      <c r="T374" s="52"/>
      <c r="U374" s="49"/>
    </row>
    <row r="375" spans="13:21">
      <c r="M375" s="49"/>
      <c r="N375" s="51"/>
      <c r="O375" s="49"/>
      <c r="P375" s="50"/>
      <c r="Q375" s="49"/>
      <c r="R375" s="49"/>
      <c r="S375" s="49"/>
      <c r="T375" s="52"/>
      <c r="U375" s="49"/>
    </row>
    <row r="376" spans="13:21">
      <c r="M376" s="49"/>
      <c r="N376" s="51"/>
      <c r="O376" s="49"/>
      <c r="P376" s="50"/>
      <c r="Q376" s="49"/>
      <c r="R376" s="49"/>
      <c r="S376" s="49"/>
      <c r="T376" s="52"/>
      <c r="U376" s="49"/>
    </row>
    <row r="377" spans="13:21">
      <c r="M377" s="49"/>
      <c r="N377" s="51"/>
      <c r="O377" s="49"/>
      <c r="P377" s="50"/>
      <c r="Q377" s="49"/>
      <c r="R377" s="49"/>
      <c r="S377" s="49"/>
      <c r="T377" s="52"/>
      <c r="U377" s="49"/>
    </row>
    <row r="378" spans="13:21">
      <c r="M378" s="49"/>
      <c r="N378" s="51"/>
      <c r="O378" s="49"/>
      <c r="P378" s="50"/>
      <c r="Q378" s="49"/>
      <c r="R378" s="49"/>
      <c r="S378" s="49"/>
      <c r="T378" s="52"/>
      <c r="U378" s="49"/>
    </row>
    <row r="379" spans="13:21">
      <c r="M379" s="49"/>
      <c r="N379" s="51"/>
      <c r="O379" s="49"/>
      <c r="P379" s="50"/>
      <c r="Q379" s="49"/>
      <c r="R379" s="49"/>
      <c r="S379" s="49"/>
      <c r="T379" s="52"/>
      <c r="U379" s="49"/>
    </row>
    <row r="380" spans="13:21">
      <c r="M380" s="49"/>
      <c r="N380" s="51"/>
      <c r="O380" s="49"/>
      <c r="P380" s="50"/>
      <c r="Q380" s="49"/>
      <c r="R380" s="49"/>
      <c r="S380" s="49"/>
      <c r="T380" s="52"/>
      <c r="U380" s="49"/>
    </row>
    <row r="381" spans="13:21">
      <c r="M381" s="49"/>
      <c r="N381" s="51"/>
      <c r="O381" s="49"/>
      <c r="P381" s="50"/>
      <c r="Q381" s="49"/>
      <c r="R381" s="49"/>
      <c r="S381" s="49"/>
      <c r="T381" s="52"/>
      <c r="U381" s="49"/>
    </row>
    <row r="382" spans="13:21">
      <c r="M382" s="49"/>
      <c r="N382" s="51"/>
      <c r="O382" s="49"/>
      <c r="P382" s="50"/>
      <c r="Q382" s="49"/>
      <c r="R382" s="49"/>
      <c r="S382" s="49"/>
      <c r="T382" s="52"/>
      <c r="U382" s="49"/>
    </row>
    <row r="383" spans="13:21">
      <c r="M383" s="49"/>
      <c r="N383" s="51"/>
      <c r="O383" s="49"/>
      <c r="P383" s="50"/>
      <c r="Q383" s="49"/>
      <c r="R383" s="49"/>
      <c r="S383" s="49"/>
      <c r="T383" s="52"/>
      <c r="U383" s="49"/>
    </row>
    <row r="384" spans="13:21">
      <c r="M384" s="49"/>
      <c r="N384" s="51"/>
      <c r="O384" s="49"/>
      <c r="P384" s="50"/>
      <c r="Q384" s="49"/>
      <c r="R384" s="49"/>
      <c r="S384" s="49"/>
      <c r="T384" s="52"/>
      <c r="U384" s="49"/>
    </row>
    <row r="385" spans="13:21">
      <c r="M385" s="49"/>
      <c r="N385" s="51"/>
      <c r="O385" s="49"/>
      <c r="P385" s="50"/>
      <c r="Q385" s="49"/>
      <c r="R385" s="49"/>
      <c r="S385" s="49"/>
      <c r="T385" s="52"/>
      <c r="U385" s="49"/>
    </row>
    <row r="386" spans="13:21">
      <c r="M386" s="49"/>
      <c r="N386" s="51"/>
      <c r="O386" s="49"/>
      <c r="P386" s="50"/>
      <c r="Q386" s="49"/>
      <c r="R386" s="49"/>
      <c r="S386" s="49"/>
      <c r="T386" s="52"/>
      <c r="U386" s="49"/>
    </row>
    <row r="387" spans="13:21">
      <c r="M387" s="49"/>
      <c r="N387" s="51"/>
      <c r="O387" s="49"/>
      <c r="P387" s="50"/>
      <c r="Q387" s="49"/>
      <c r="R387" s="49"/>
      <c r="S387" s="49"/>
      <c r="T387" s="52"/>
      <c r="U387" s="49"/>
    </row>
    <row r="388" spans="13:21">
      <c r="M388" s="49"/>
      <c r="N388" s="51"/>
      <c r="O388" s="49"/>
      <c r="P388" s="50"/>
      <c r="Q388" s="49"/>
      <c r="R388" s="49"/>
      <c r="S388" s="49"/>
      <c r="T388" s="52"/>
      <c r="U388" s="49"/>
    </row>
    <row r="389" spans="13:21">
      <c r="M389" s="49"/>
      <c r="N389" s="51"/>
      <c r="O389" s="49"/>
      <c r="P389" s="50"/>
      <c r="Q389" s="49"/>
      <c r="R389" s="49"/>
      <c r="S389" s="49"/>
      <c r="T389" s="52"/>
      <c r="U389" s="49"/>
    </row>
    <row r="390" spans="13:21">
      <c r="M390" s="49"/>
      <c r="N390" s="51"/>
      <c r="O390" s="49"/>
      <c r="P390" s="50"/>
      <c r="Q390" s="49"/>
      <c r="R390" s="49"/>
      <c r="S390" s="49"/>
      <c r="T390" s="52"/>
      <c r="U390" s="49"/>
    </row>
    <row r="391" spans="13:21">
      <c r="M391" s="49"/>
      <c r="N391" s="51"/>
      <c r="O391" s="49"/>
      <c r="P391" s="50"/>
      <c r="Q391" s="49"/>
      <c r="R391" s="49"/>
      <c r="S391" s="49"/>
      <c r="T391" s="52"/>
      <c r="U391" s="49"/>
    </row>
    <row r="392" spans="13:21">
      <c r="M392" s="49"/>
      <c r="N392" s="51"/>
      <c r="O392" s="49"/>
      <c r="P392" s="50"/>
      <c r="Q392" s="49"/>
      <c r="R392" s="49"/>
      <c r="S392" s="49"/>
      <c r="T392" s="52"/>
      <c r="U392" s="49"/>
    </row>
    <row r="393" spans="13:21">
      <c r="M393" s="49"/>
      <c r="N393" s="51"/>
      <c r="O393" s="49"/>
      <c r="P393" s="50"/>
      <c r="Q393" s="49"/>
      <c r="R393" s="49"/>
      <c r="S393" s="49"/>
      <c r="T393" s="52"/>
      <c r="U393" s="49"/>
    </row>
    <row r="394" spans="13:21">
      <c r="M394" s="49"/>
      <c r="N394" s="51"/>
      <c r="O394" s="49"/>
      <c r="P394" s="50"/>
      <c r="Q394" s="49"/>
      <c r="R394" s="49"/>
      <c r="S394" s="49"/>
      <c r="T394" s="52"/>
      <c r="U394" s="49"/>
    </row>
    <row r="395" spans="13:21">
      <c r="M395" s="49"/>
      <c r="N395" s="51"/>
      <c r="O395" s="49"/>
      <c r="P395" s="50"/>
      <c r="Q395" s="49"/>
      <c r="R395" s="49"/>
      <c r="S395" s="49"/>
      <c r="T395" s="52"/>
      <c r="U395" s="49"/>
    </row>
    <row r="396" spans="13:21">
      <c r="M396" s="49"/>
      <c r="N396" s="51"/>
      <c r="O396" s="49"/>
      <c r="P396" s="50"/>
      <c r="Q396" s="49"/>
      <c r="R396" s="49"/>
      <c r="S396" s="49"/>
      <c r="T396" s="52"/>
      <c r="U396" s="49"/>
    </row>
    <row r="397" spans="13:21">
      <c r="M397" s="49"/>
      <c r="N397" s="51"/>
      <c r="O397" s="49"/>
      <c r="P397" s="50"/>
      <c r="Q397" s="49"/>
      <c r="R397" s="49"/>
      <c r="S397" s="49"/>
      <c r="T397" s="52"/>
      <c r="U397" s="49"/>
    </row>
    <row r="398" spans="13:21">
      <c r="M398" s="49"/>
      <c r="N398" s="51"/>
      <c r="O398" s="49"/>
      <c r="P398" s="50"/>
      <c r="Q398" s="49"/>
      <c r="R398" s="49"/>
      <c r="S398" s="49"/>
      <c r="T398" s="52"/>
      <c r="U398" s="49"/>
    </row>
    <row r="399" spans="13:21">
      <c r="M399" s="49"/>
      <c r="N399" s="51"/>
      <c r="O399" s="49"/>
      <c r="P399" s="50"/>
      <c r="Q399" s="49"/>
      <c r="R399" s="49"/>
      <c r="S399" s="49"/>
      <c r="T399" s="52"/>
      <c r="U399" s="49"/>
    </row>
    <row r="400" spans="13:21">
      <c r="M400" s="49"/>
      <c r="N400" s="51"/>
      <c r="O400" s="49"/>
      <c r="P400" s="50"/>
      <c r="Q400" s="49"/>
      <c r="R400" s="49"/>
      <c r="S400" s="49"/>
      <c r="T400" s="52"/>
      <c r="U400" s="49"/>
    </row>
    <row r="401" spans="13:21">
      <c r="M401" s="49"/>
      <c r="N401" s="51"/>
      <c r="O401" s="49"/>
      <c r="P401" s="50"/>
      <c r="Q401" s="49"/>
      <c r="R401" s="49"/>
      <c r="S401" s="49"/>
      <c r="T401" s="52"/>
      <c r="U401" s="49"/>
    </row>
    <row r="402" spans="13:21">
      <c r="M402" s="49"/>
      <c r="N402" s="51"/>
      <c r="O402" s="49"/>
      <c r="P402" s="50"/>
      <c r="Q402" s="49"/>
      <c r="R402" s="49"/>
      <c r="S402" s="49"/>
      <c r="T402" s="52"/>
      <c r="U402" s="49"/>
    </row>
    <row r="403" spans="13:21">
      <c r="M403" s="49"/>
      <c r="N403" s="51"/>
      <c r="O403" s="49"/>
      <c r="P403" s="50"/>
      <c r="Q403" s="49"/>
      <c r="R403" s="49"/>
      <c r="S403" s="49"/>
      <c r="T403" s="52"/>
      <c r="U403" s="49"/>
    </row>
    <row r="404" spans="13:21">
      <c r="M404" s="49"/>
      <c r="N404" s="51"/>
      <c r="O404" s="49"/>
      <c r="P404" s="50"/>
      <c r="Q404" s="49"/>
      <c r="R404" s="49"/>
      <c r="S404" s="49"/>
      <c r="T404" s="52"/>
      <c r="U404" s="49"/>
    </row>
    <row r="405" spans="13:21">
      <c r="M405" s="49"/>
      <c r="N405" s="51"/>
      <c r="O405" s="49"/>
      <c r="P405" s="50"/>
      <c r="Q405" s="49"/>
      <c r="R405" s="49"/>
      <c r="S405" s="49"/>
      <c r="T405" s="52"/>
      <c r="U405" s="49"/>
    </row>
    <row r="406" spans="13:21">
      <c r="M406" s="49"/>
      <c r="N406" s="51"/>
      <c r="O406" s="49"/>
      <c r="P406" s="50"/>
      <c r="Q406" s="49"/>
      <c r="R406" s="49"/>
      <c r="S406" s="49"/>
      <c r="T406" s="52"/>
      <c r="U406" s="49"/>
    </row>
    <row r="407" spans="13:21">
      <c r="M407" s="49"/>
      <c r="N407" s="51"/>
      <c r="O407" s="49"/>
      <c r="P407" s="50"/>
      <c r="Q407" s="49"/>
      <c r="R407" s="49"/>
      <c r="S407" s="49"/>
      <c r="T407" s="52"/>
      <c r="U407" s="49"/>
    </row>
    <row r="408" spans="13:21">
      <c r="M408" s="49"/>
      <c r="N408" s="51"/>
      <c r="O408" s="49"/>
      <c r="P408" s="50"/>
      <c r="Q408" s="49"/>
      <c r="R408" s="49"/>
      <c r="S408" s="49"/>
      <c r="T408" s="52"/>
      <c r="U408" s="49"/>
    </row>
    <row r="409" spans="13:21">
      <c r="M409" s="49"/>
      <c r="N409" s="51"/>
      <c r="O409" s="49"/>
      <c r="P409" s="50"/>
      <c r="Q409" s="49"/>
      <c r="R409" s="49"/>
      <c r="S409" s="49"/>
      <c r="T409" s="52"/>
      <c r="U409" s="49"/>
    </row>
    <row r="410" spans="13:21">
      <c r="M410" s="49"/>
      <c r="N410" s="51"/>
      <c r="O410" s="49"/>
      <c r="P410" s="50"/>
      <c r="Q410" s="49"/>
      <c r="R410" s="49"/>
      <c r="S410" s="49"/>
      <c r="T410" s="52"/>
      <c r="U410" s="49"/>
    </row>
    <row r="411" spans="13:21">
      <c r="M411" s="49"/>
      <c r="N411" s="51"/>
      <c r="O411" s="49"/>
      <c r="P411" s="50"/>
      <c r="Q411" s="49"/>
      <c r="R411" s="49"/>
      <c r="S411" s="49"/>
      <c r="T411" s="52"/>
      <c r="U411" s="49"/>
    </row>
    <row r="412" spans="13:21">
      <c r="M412" s="49"/>
      <c r="N412" s="51"/>
      <c r="O412" s="49"/>
      <c r="P412" s="50"/>
      <c r="Q412" s="49"/>
      <c r="R412" s="49"/>
      <c r="S412" s="49"/>
      <c r="T412" s="52"/>
      <c r="U412" s="49"/>
    </row>
    <row r="413" spans="13:21">
      <c r="M413" s="49"/>
      <c r="N413" s="51"/>
      <c r="O413" s="49"/>
      <c r="P413" s="50"/>
      <c r="Q413" s="49"/>
      <c r="R413" s="49"/>
      <c r="S413" s="49"/>
      <c r="T413" s="52"/>
      <c r="U413" s="49"/>
    </row>
    <row r="414" spans="13:21">
      <c r="M414" s="49"/>
      <c r="N414" s="51"/>
      <c r="O414" s="49"/>
      <c r="P414" s="50"/>
      <c r="Q414" s="49"/>
      <c r="R414" s="49"/>
      <c r="S414" s="49"/>
      <c r="T414" s="52"/>
      <c r="U414" s="49"/>
    </row>
  </sheetData>
  <sheetProtection sheet="1" objects="1" scenarios="1" autoFilter="0"/>
  <autoFilter ref="A2:U91" xr:uid="{00000000-0001-0000-0800-000000000000}">
    <filterColumn colId="1">
      <customFilters>
        <customFilter operator="notEqual" val=" "/>
      </customFilters>
    </filterColumn>
  </autoFilter>
  <phoneticPr fontId="11" type="noConversion"/>
  <conditionalFormatting sqref="J1:K84 K85 J86:K1048576">
    <cfRule type="cellIs" dxfId="2" priority="1" operator="equal">
      <formula>$AC$5</formula>
    </cfRule>
    <cfRule type="cellIs" dxfId="1" priority="2" operator="equal">
      <formula>$AC$4</formula>
    </cfRule>
    <cfRule type="cellIs" dxfId="0" priority="3" operator="equal">
      <formula>$AC$3</formula>
    </cfRule>
  </conditionalFormatting>
  <dataValidations count="3">
    <dataValidation type="list" allowBlank="1" showInputMessage="1" showErrorMessage="1" sqref="J86:K1048576 J3:K84 K85" xr:uid="{A5B6D98A-2ADA-6C43-80B2-BC318F63D7B7}">
      <formula1>$AC$3:$AC$17</formula1>
    </dataValidation>
    <dataValidation type="list" allowBlank="1" showInputMessage="1" showErrorMessage="1" errorTitle="Select Area" error="Select a valid Area from dropdown" sqref="B3:B1048576" xr:uid="{D6ACB449-4566-064C-9D60-4E9110116CCB}">
      <formula1>$W$3:$W$17</formula1>
    </dataValidation>
    <dataValidation type="list" allowBlank="1" showInputMessage="1" showErrorMessage="1" errorTitle="Select Area" error="Select a valid Area from dropdown" sqref="C1:C1048576" xr:uid="{FA34588F-8AB9-4858-A664-665567D5F031}">
      <formula1>$AE$3:$AE$4</formula1>
    </dataValidation>
  </dataValidations>
  <pageMargins left="0.75" right="0.75" top="1" bottom="1" header="0.5" footer="0.5"/>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8AE6D-9A53-4B18-8827-FE212D3A4932}">
  <dimension ref="A1"/>
  <sheetViews>
    <sheetView workbookViewId="0">
      <selection activeCell="L16" sqref="L16"/>
    </sheetView>
  </sheetViews>
  <sheetFormatPr defaultColWidth="8.85546875"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4"/>
  <sheetViews>
    <sheetView zoomScale="90" zoomScaleNormal="90" workbookViewId="0">
      <selection activeCell="A3" sqref="A3"/>
    </sheetView>
  </sheetViews>
  <sheetFormatPr defaultColWidth="8.85546875" defaultRowHeight="15"/>
  <cols>
    <col min="1" max="1" width="24.140625" customWidth="1"/>
    <col min="2" max="2" width="26.28515625" customWidth="1"/>
    <col min="3" max="4" width="14" customWidth="1"/>
    <col min="5" max="5" width="35" customWidth="1"/>
    <col min="6" max="6" width="16" customWidth="1"/>
    <col min="7" max="7" width="24" customWidth="1"/>
    <col min="8" max="8" width="20" customWidth="1"/>
    <col min="9" max="9" width="14" customWidth="1"/>
    <col min="10" max="10" width="15" customWidth="1"/>
  </cols>
  <sheetData>
    <row r="1" spans="1:10">
      <c r="A1" s="12" t="s">
        <v>3</v>
      </c>
      <c r="B1" s="12" t="s">
        <v>406</v>
      </c>
      <c r="C1" s="10" t="s">
        <v>407</v>
      </c>
      <c r="D1" s="11" t="s">
        <v>408</v>
      </c>
      <c r="E1" s="11" t="s">
        <v>409</v>
      </c>
      <c r="F1" s="11" t="s">
        <v>410</v>
      </c>
      <c r="G1" s="11" t="s">
        <v>411</v>
      </c>
      <c r="H1" s="11" t="s">
        <v>412</v>
      </c>
      <c r="I1" s="11" t="s">
        <v>413</v>
      </c>
      <c r="J1" s="11" t="s">
        <v>414</v>
      </c>
    </row>
    <row r="2" spans="1:10">
      <c r="B2" s="8"/>
      <c r="C2" s="8"/>
      <c r="D2" s="8"/>
      <c r="E2" s="8"/>
      <c r="F2" s="8"/>
      <c r="G2" s="8"/>
      <c r="H2" s="8"/>
      <c r="I2" s="8"/>
      <c r="J2" s="8"/>
    </row>
    <row r="3" spans="1:10">
      <c r="A3" s="8"/>
      <c r="B3" s="8"/>
      <c r="C3" s="8"/>
      <c r="D3" s="8"/>
      <c r="E3" s="8"/>
      <c r="F3" s="8"/>
      <c r="G3" s="8"/>
      <c r="H3" s="8"/>
      <c r="I3" s="8"/>
      <c r="J3" s="8"/>
    </row>
    <row r="4" spans="1:10">
      <c r="A4" s="8"/>
      <c r="B4" s="8"/>
      <c r="C4" s="8"/>
      <c r="D4" s="8"/>
      <c r="E4" s="8"/>
      <c r="F4" s="8"/>
      <c r="G4" s="8"/>
      <c r="H4" s="8"/>
      <c r="I4" s="8"/>
      <c r="J4" s="8"/>
    </row>
    <row r="5" spans="1:10">
      <c r="A5" s="8"/>
      <c r="B5" s="8"/>
      <c r="C5" s="8"/>
      <c r="D5" s="8"/>
      <c r="E5" s="8"/>
      <c r="F5" s="8"/>
      <c r="G5" s="8"/>
      <c r="H5" s="8"/>
      <c r="I5" s="8"/>
      <c r="J5" s="8"/>
    </row>
    <row r="6" spans="1:10">
      <c r="A6" s="8"/>
      <c r="B6" s="8"/>
      <c r="C6" s="8"/>
      <c r="D6" s="8"/>
      <c r="E6" s="8"/>
      <c r="F6" s="8"/>
      <c r="G6" s="8"/>
      <c r="H6" s="8"/>
      <c r="I6" s="8"/>
      <c r="J6" s="8"/>
    </row>
    <row r="7" spans="1:10">
      <c r="A7" s="8"/>
      <c r="B7" s="8"/>
      <c r="C7" s="8"/>
      <c r="D7" s="8"/>
      <c r="E7" s="8"/>
      <c r="F7" s="8"/>
      <c r="G7" s="8"/>
      <c r="H7" s="8"/>
      <c r="I7" s="8"/>
      <c r="J7" s="8"/>
    </row>
    <row r="8" spans="1:10">
      <c r="A8" s="8"/>
      <c r="B8" s="8"/>
      <c r="C8" s="8"/>
      <c r="D8" s="8"/>
      <c r="E8" s="8"/>
      <c r="F8" s="8"/>
      <c r="G8" s="8"/>
      <c r="H8" s="8"/>
      <c r="I8" s="8"/>
      <c r="J8" s="8"/>
    </row>
    <row r="9" spans="1:10">
      <c r="A9" s="8"/>
      <c r="B9" s="8"/>
      <c r="C9" s="8"/>
      <c r="D9" s="8"/>
      <c r="E9" s="8"/>
      <c r="F9" s="8"/>
      <c r="G9" s="8"/>
      <c r="H9" s="8"/>
      <c r="I9" s="8"/>
      <c r="J9" s="8"/>
    </row>
    <row r="10" spans="1:10">
      <c r="A10" s="8"/>
      <c r="B10" s="8"/>
      <c r="C10" s="8"/>
      <c r="D10" s="8"/>
      <c r="E10" s="8"/>
      <c r="F10" s="8"/>
      <c r="G10" s="8"/>
      <c r="H10" s="8"/>
      <c r="I10" s="8"/>
      <c r="J10" s="8"/>
    </row>
    <row r="11" spans="1:10">
      <c r="A11" s="8"/>
      <c r="B11" s="8"/>
      <c r="C11" s="8"/>
      <c r="D11" s="8"/>
      <c r="E11" s="8"/>
      <c r="F11" s="8"/>
      <c r="G11" s="8"/>
      <c r="H11" s="8"/>
      <c r="I11" s="8"/>
      <c r="J11" s="8"/>
    </row>
    <row r="12" spans="1:10">
      <c r="A12" s="8"/>
      <c r="B12" s="8"/>
      <c r="C12" s="8"/>
      <c r="D12" s="8"/>
      <c r="E12" s="8"/>
      <c r="F12" s="8"/>
      <c r="G12" s="8"/>
      <c r="H12" s="8"/>
      <c r="I12" s="8"/>
      <c r="J12" s="8"/>
    </row>
    <row r="13" spans="1:10">
      <c r="A13" s="8"/>
      <c r="B13" s="8"/>
      <c r="C13" s="8"/>
      <c r="D13" s="8"/>
      <c r="E13" s="8"/>
      <c r="F13" s="8"/>
      <c r="G13" s="8"/>
      <c r="H13" s="8"/>
      <c r="I13" s="8"/>
      <c r="J13" s="8"/>
    </row>
    <row r="14" spans="1:10">
      <c r="A14" s="8"/>
      <c r="B14" s="8"/>
      <c r="C14" s="8"/>
      <c r="D14" s="8"/>
      <c r="E14" s="8"/>
      <c r="F14" s="8"/>
      <c r="G14" s="8"/>
      <c r="H14" s="8"/>
      <c r="I14" s="8"/>
      <c r="J14" s="8"/>
    </row>
    <row r="15" spans="1:10">
      <c r="A15" s="8"/>
      <c r="B15" s="8"/>
      <c r="C15" s="8"/>
      <c r="D15" s="8"/>
      <c r="E15" s="8"/>
      <c r="F15" s="8"/>
      <c r="G15" s="8"/>
      <c r="H15" s="8"/>
      <c r="I15" s="8"/>
      <c r="J15" s="8"/>
    </row>
    <row r="16" spans="1:10">
      <c r="A16" s="8"/>
      <c r="B16" s="8"/>
      <c r="C16" s="8"/>
      <c r="D16" s="8"/>
      <c r="E16" s="8"/>
      <c r="F16" s="8"/>
      <c r="G16" s="8"/>
      <c r="H16" s="8"/>
      <c r="I16" s="8"/>
      <c r="J16" s="8"/>
    </row>
    <row r="17" spans="1:10">
      <c r="A17" s="8"/>
      <c r="B17" s="8"/>
      <c r="C17" s="8"/>
      <c r="D17" s="8"/>
      <c r="E17" s="8"/>
      <c r="F17" s="8"/>
      <c r="G17" s="8"/>
      <c r="H17" s="8"/>
      <c r="I17" s="8"/>
      <c r="J17" s="8"/>
    </row>
    <row r="18" spans="1:10">
      <c r="A18" s="8"/>
      <c r="B18" s="8"/>
      <c r="C18" s="8"/>
      <c r="D18" s="8"/>
      <c r="E18" s="8"/>
      <c r="F18" s="8"/>
      <c r="G18" s="8"/>
      <c r="H18" s="8"/>
      <c r="I18" s="8"/>
      <c r="J18" s="8"/>
    </row>
    <row r="19" spans="1:10">
      <c r="A19" s="8"/>
      <c r="B19" s="8"/>
      <c r="C19" s="8"/>
      <c r="D19" s="8"/>
      <c r="E19" s="8"/>
      <c r="F19" s="8"/>
      <c r="G19" s="8"/>
      <c r="H19" s="8"/>
      <c r="I19" s="8"/>
      <c r="J19" s="8"/>
    </row>
    <row r="20" spans="1:10">
      <c r="A20" s="8"/>
      <c r="B20" s="8"/>
      <c r="C20" s="8"/>
      <c r="D20" s="8"/>
      <c r="E20" s="8"/>
      <c r="F20" s="8"/>
      <c r="G20" s="8"/>
      <c r="H20" s="8"/>
      <c r="I20" s="8"/>
      <c r="J20" s="8"/>
    </row>
    <row r="21" spans="1:10">
      <c r="A21" s="8"/>
      <c r="B21" s="8"/>
      <c r="C21" s="8"/>
      <c r="D21" s="8"/>
      <c r="E21" s="8"/>
      <c r="F21" s="8"/>
      <c r="G21" s="8"/>
      <c r="H21" s="8"/>
      <c r="I21" s="8"/>
      <c r="J21" s="8"/>
    </row>
    <row r="22" spans="1:10">
      <c r="A22" s="8"/>
      <c r="B22" s="8"/>
      <c r="C22" s="8"/>
      <c r="D22" s="8"/>
      <c r="E22" s="8"/>
      <c r="F22" s="8"/>
      <c r="G22" s="8"/>
      <c r="H22" s="8"/>
      <c r="I22" s="8"/>
      <c r="J22" s="8"/>
    </row>
    <row r="23" spans="1:10">
      <c r="A23" s="8"/>
      <c r="B23" s="8"/>
      <c r="C23" s="8"/>
      <c r="D23" s="8"/>
      <c r="E23" s="8"/>
      <c r="F23" s="8"/>
      <c r="G23" s="8"/>
      <c r="H23" s="8"/>
      <c r="I23" s="8"/>
      <c r="J23" s="8"/>
    </row>
    <row r="24" spans="1:10">
      <c r="A24" s="8"/>
      <c r="B24" s="8"/>
      <c r="C24" s="8"/>
      <c r="D24" s="8"/>
      <c r="E24" s="8"/>
      <c r="F24" s="8"/>
      <c r="G24" s="8"/>
      <c r="H24" s="8"/>
      <c r="I24" s="8"/>
      <c r="J24" s="8"/>
    </row>
    <row r="25" spans="1:10">
      <c r="A25" s="8"/>
      <c r="B25" s="8"/>
      <c r="C25" s="8"/>
      <c r="D25" s="8"/>
      <c r="E25" s="8"/>
      <c r="F25" s="8"/>
      <c r="G25" s="8"/>
      <c r="H25" s="8"/>
      <c r="I25" s="8"/>
      <c r="J25" s="8"/>
    </row>
    <row r="26" spans="1:10">
      <c r="A26" s="8"/>
      <c r="B26" s="8"/>
      <c r="C26" s="8"/>
      <c r="D26" s="8"/>
      <c r="E26" s="8"/>
      <c r="F26" s="8"/>
      <c r="G26" s="8"/>
      <c r="H26" s="8"/>
      <c r="I26" s="8"/>
      <c r="J26" s="8"/>
    </row>
    <row r="27" spans="1:10">
      <c r="A27" s="8"/>
      <c r="B27" s="8"/>
      <c r="C27" s="8"/>
      <c r="D27" s="8"/>
      <c r="E27" s="8"/>
      <c r="F27" s="8"/>
      <c r="G27" s="8"/>
      <c r="H27" s="8"/>
      <c r="I27" s="8"/>
      <c r="J27" s="8"/>
    </row>
    <row r="28" spans="1:10">
      <c r="A28" s="8"/>
      <c r="B28" s="8"/>
      <c r="C28" s="8"/>
      <c r="D28" s="8"/>
      <c r="E28" s="8"/>
      <c r="F28" s="8"/>
      <c r="G28" s="8"/>
      <c r="H28" s="8"/>
      <c r="I28" s="8"/>
      <c r="J28" s="8"/>
    </row>
    <row r="29" spans="1:10">
      <c r="A29" s="8"/>
      <c r="B29" s="8"/>
      <c r="C29" s="8"/>
      <c r="D29" s="8"/>
      <c r="E29" s="8"/>
      <c r="F29" s="8"/>
      <c r="G29" s="8"/>
      <c r="H29" s="8"/>
      <c r="I29" s="8"/>
      <c r="J29" s="8"/>
    </row>
    <row r="30" spans="1:10">
      <c r="A30" s="8"/>
      <c r="B30" s="8"/>
      <c r="C30" s="8"/>
      <c r="D30" s="8"/>
      <c r="E30" s="8"/>
      <c r="F30" s="8"/>
      <c r="G30" s="8"/>
      <c r="H30" s="8"/>
      <c r="I30" s="8"/>
      <c r="J30" s="8"/>
    </row>
    <row r="31" spans="1:10">
      <c r="A31" s="8"/>
      <c r="B31" s="8"/>
      <c r="C31" s="8"/>
      <c r="D31" s="8"/>
      <c r="E31" s="8"/>
      <c r="F31" s="8"/>
      <c r="G31" s="8"/>
      <c r="H31" s="8"/>
      <c r="I31" s="8"/>
      <c r="J31" s="8"/>
    </row>
    <row r="32" spans="1:10">
      <c r="A32" s="8"/>
      <c r="B32" s="8"/>
      <c r="C32" s="8"/>
      <c r="D32" s="8"/>
      <c r="E32" s="8"/>
      <c r="F32" s="8"/>
      <c r="G32" s="8"/>
      <c r="H32" s="8"/>
      <c r="I32" s="8"/>
      <c r="J32" s="8"/>
    </row>
    <row r="33" spans="1:10">
      <c r="A33" s="8"/>
      <c r="B33" s="8"/>
      <c r="C33" s="8"/>
      <c r="D33" s="8"/>
      <c r="E33" s="8"/>
      <c r="F33" s="8"/>
      <c r="G33" s="8"/>
      <c r="H33" s="8"/>
      <c r="I33" s="8"/>
      <c r="J33" s="8"/>
    </row>
    <row r="34" spans="1:10">
      <c r="A34" s="8"/>
      <c r="B34" s="8"/>
      <c r="C34" s="8"/>
      <c r="D34" s="8"/>
      <c r="E34" s="8"/>
      <c r="F34" s="8"/>
      <c r="G34" s="8"/>
      <c r="H34" s="8"/>
      <c r="I34" s="8"/>
      <c r="J34" s="8"/>
    </row>
    <row r="35" spans="1:10">
      <c r="A35" s="8"/>
      <c r="B35" s="8"/>
      <c r="C35" s="8"/>
      <c r="D35" s="8"/>
      <c r="E35" s="8"/>
      <c r="F35" s="8"/>
      <c r="G35" s="8"/>
      <c r="H35" s="8"/>
      <c r="I35" s="8"/>
      <c r="J35" s="8"/>
    </row>
    <row r="36" spans="1:10">
      <c r="A36" s="8"/>
      <c r="B36" s="8"/>
      <c r="C36" s="8"/>
      <c r="D36" s="8"/>
      <c r="E36" s="8"/>
      <c r="F36" s="8"/>
      <c r="G36" s="8"/>
      <c r="H36" s="8"/>
      <c r="I36" s="8"/>
      <c r="J36" s="8"/>
    </row>
    <row r="37" spans="1:10">
      <c r="A37" s="8"/>
      <c r="B37" s="8"/>
      <c r="C37" s="8"/>
      <c r="D37" s="8"/>
      <c r="E37" s="8"/>
      <c r="F37" s="8"/>
      <c r="G37" s="8"/>
      <c r="H37" s="8"/>
      <c r="I37" s="8"/>
      <c r="J37" s="8"/>
    </row>
    <row r="38" spans="1:10">
      <c r="A38" s="8"/>
      <c r="B38" s="8"/>
      <c r="C38" s="8"/>
      <c r="D38" s="8"/>
      <c r="E38" s="8"/>
      <c r="F38" s="8"/>
      <c r="G38" s="8"/>
      <c r="H38" s="8"/>
      <c r="I38" s="8"/>
      <c r="J38" s="8"/>
    </row>
    <row r="39" spans="1:10">
      <c r="A39" s="8"/>
      <c r="B39" s="8"/>
      <c r="C39" s="8"/>
      <c r="D39" s="8"/>
      <c r="E39" s="8"/>
      <c r="F39" s="8"/>
      <c r="G39" s="8"/>
      <c r="H39" s="8"/>
      <c r="I39" s="8"/>
      <c r="J39" s="8"/>
    </row>
    <row r="40" spans="1:10">
      <c r="A40" s="8"/>
      <c r="B40" s="8"/>
      <c r="C40" s="8"/>
      <c r="D40" s="8"/>
      <c r="E40" s="8"/>
      <c r="F40" s="8"/>
      <c r="G40" s="8"/>
      <c r="H40" s="8"/>
      <c r="I40" s="8"/>
      <c r="J40" s="8"/>
    </row>
    <row r="41" spans="1:10">
      <c r="A41" s="8"/>
      <c r="B41" s="8"/>
      <c r="C41" s="8"/>
      <c r="D41" s="8"/>
      <c r="E41" s="8"/>
      <c r="F41" s="8"/>
      <c r="G41" s="8"/>
      <c r="H41" s="8"/>
      <c r="I41" s="8"/>
      <c r="J41" s="8"/>
    </row>
    <row r="42" spans="1:10">
      <c r="A42" s="8"/>
      <c r="B42" s="8"/>
      <c r="C42" s="8"/>
      <c r="D42" s="8"/>
      <c r="E42" s="8"/>
      <c r="F42" s="8"/>
      <c r="G42" s="8"/>
      <c r="H42" s="8"/>
      <c r="I42" s="8"/>
      <c r="J42" s="8"/>
    </row>
    <row r="43" spans="1:10">
      <c r="A43" s="8"/>
      <c r="B43" s="8"/>
      <c r="C43" s="8"/>
      <c r="D43" s="8"/>
      <c r="E43" s="8"/>
      <c r="F43" s="8"/>
      <c r="G43" s="8"/>
      <c r="H43" s="8"/>
      <c r="I43" s="8"/>
      <c r="J43" s="8"/>
    </row>
    <row r="44" spans="1:10">
      <c r="A44" s="8"/>
      <c r="B44" s="8"/>
      <c r="C44" s="8"/>
      <c r="D44" s="8"/>
      <c r="E44" s="8"/>
      <c r="F44" s="8"/>
      <c r="G44" s="8"/>
      <c r="H44" s="8"/>
      <c r="I44" s="8"/>
      <c r="J44" s="8"/>
    </row>
  </sheetData>
  <sheetProtection formatCells="0" formatColumns="0" formatRows="0" insertColumns="0" insertRows="0" insertHyperlinks="0" deleteColumns="0" deleteRows="0" sort="0" autoFilter="0" pivotTables="0"/>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7025FE20-2D71-2C4F-B95C-6EE2539D090F}">
          <x14:formula1>
            <xm:f>'Data (Master Table)'!$W$3:$W$17</xm:f>
          </x14:formula1>
          <xm:sqref>A3:A1048576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1D509D95CB4E44C8EA8636A923E53D4" ma:contentTypeVersion="12" ma:contentTypeDescription="Create a new document." ma:contentTypeScope="" ma:versionID="a88852af775cc670ce659d2fac46a916">
  <xsd:schema xmlns:xsd="http://www.w3.org/2001/XMLSchema" xmlns:xs="http://www.w3.org/2001/XMLSchema" xmlns:p="http://schemas.microsoft.com/office/2006/metadata/properties" xmlns:ns2="30e2dba9-484c-47b2-9de2-29a9e86af256" xmlns:ns3="c7da52c4-7a8d-456f-8c0b-8dc9e68e6195" targetNamespace="http://schemas.microsoft.com/office/2006/metadata/properties" ma:root="true" ma:fieldsID="ec905845bfa5e159a82268b41049f5e9" ns2:_="" ns3:_="">
    <xsd:import namespace="30e2dba9-484c-47b2-9de2-29a9e86af256"/>
    <xsd:import namespace="c7da52c4-7a8d-456f-8c0b-8dc9e68e619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e2dba9-484c-47b2-9de2-29a9e86af2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ea01a4-96e4-46f3-ad34-f196f8c87b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da52c4-7a8d-456f-8c0b-8dc9e68e619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03c96f-8582-4dc1-8713-2dc9d10c9c6d}" ma:internalName="TaxCatchAll" ma:showField="CatchAllData" ma:web="c7da52c4-7a8d-456f-8c0b-8dc9e68e61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e2dba9-484c-47b2-9de2-29a9e86af256">
      <Terms xmlns="http://schemas.microsoft.com/office/infopath/2007/PartnerControls"/>
    </lcf76f155ced4ddcb4097134ff3c332f>
    <TaxCatchAll xmlns="c7da52c4-7a8d-456f-8c0b-8dc9e68e6195" xsi:nil="true"/>
  </documentManagement>
</p:properties>
</file>

<file path=customXml/itemProps1.xml><?xml version="1.0" encoding="utf-8"?>
<ds:datastoreItem xmlns:ds="http://schemas.openxmlformats.org/officeDocument/2006/customXml" ds:itemID="{0F1D0FA7-2A06-48CB-B91D-CF01320F41BD}"/>
</file>

<file path=customXml/itemProps2.xml><?xml version="1.0" encoding="utf-8"?>
<ds:datastoreItem xmlns:ds="http://schemas.openxmlformats.org/officeDocument/2006/customXml" ds:itemID="{40E2F7BD-4310-464C-9F6F-E95E04E77688}"/>
</file>

<file path=customXml/itemProps3.xml><?xml version="1.0" encoding="utf-8"?>
<ds:datastoreItem xmlns:ds="http://schemas.openxmlformats.org/officeDocument/2006/customXml" ds:itemID="{D25BD347-FBC3-40FE-920A-03F330C258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2025-10-30T22:58:57Z</dcterms:created>
  <dcterms:modified xsi:type="dcterms:W3CDTF">2026-07-27T22:07:39Z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0x01010071D509D95CB4E44C8EA8636A923E53D4</vt:lpwstr>
  </property>
  <property fmtid="{D5CDD505-2E9C-101B-9397-08002B2CF9AE}" pid="3" name="MediaServiceImageTags">
    <vt:lpwstr/>
  </property>
</Properties>
</file>